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0e69a66d6b3cf8/JobAaj/"/>
    </mc:Choice>
  </mc:AlternateContent>
  <xr:revisionPtr revIDLastSave="0" documentId="8_{8BBD89F3-129B-4283-A833-72BC7B97C601}" xr6:coauthVersionLast="47" xr6:coauthVersionMax="47" xr10:uidLastSave="{00000000-0000-0000-0000-000000000000}"/>
  <bookViews>
    <workbookView xWindow="-108" yWindow="-108" windowWidth="23256" windowHeight="12456" firstSheet="6" activeTab="6" xr2:uid="{6AA015CD-51C5-48CE-93B1-219CE8BAB5CB}"/>
  </bookViews>
  <sheets>
    <sheet name="Formula &amp; Function Anatomy" sheetId="1" r:id="rId1"/>
    <sheet name="Math Function" sheetId="4" r:id="rId2"/>
    <sheet name="Cell Referencing" sheetId="2" r:id="rId3"/>
    <sheet name="Function Anatomy" sheetId="3" r:id="rId4"/>
    <sheet name="Logical Operators" sheetId="7" r:id="rId5"/>
    <sheet name="Basic Stat" sheetId="5" r:id="rId6"/>
    <sheet name="Logical Function" sheetId="6" r:id="rId7"/>
  </sheets>
  <definedNames>
    <definedName name="_xlnm._FilterDatabase" localSheetId="5" hidden="1">'Basic Stat'!$A$1:$E$33</definedName>
    <definedName name="_xlnm._FilterDatabase" localSheetId="6" hidden="1">'Logical Function'!$A$1:$Z$60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6" l="1" a="1"/>
  <c r="Y2" i="6" s="1"/>
  <c r="Y60" i="6" a="1"/>
  <c r="Y60" i="6" s="1"/>
  <c r="Y59" i="6" a="1"/>
  <c r="Y59" i="6" s="1"/>
  <c r="Y58" i="6" a="1"/>
  <c r="Y58" i="6" s="1"/>
  <c r="Y57" i="6" a="1"/>
  <c r="Y57" i="6" s="1"/>
  <c r="Y56" i="6" a="1"/>
  <c r="Y56" i="6" s="1"/>
  <c r="Y55" i="6" a="1"/>
  <c r="Y55" i="6" s="1"/>
  <c r="Y54" i="6" a="1"/>
  <c r="Y54" i="6" s="1"/>
  <c r="Y53" i="6" a="1"/>
  <c r="Y53" i="6" s="1"/>
  <c r="Y52" i="6" a="1"/>
  <c r="Y52" i="6" s="1"/>
  <c r="Y51" i="6" a="1"/>
  <c r="Y51" i="6" s="1"/>
  <c r="Y50" i="6" a="1"/>
  <c r="Y50" i="6" s="1"/>
  <c r="Y49" i="6" a="1"/>
  <c r="Y49" i="6" s="1"/>
  <c r="Y48" i="6" a="1"/>
  <c r="Y48" i="6" s="1"/>
  <c r="Y47" i="6" a="1"/>
  <c r="Y47" i="6" s="1"/>
  <c r="Y46" i="6" a="1"/>
  <c r="Y46" i="6" s="1"/>
  <c r="Y45" i="6" a="1"/>
  <c r="Y45" i="6" s="1"/>
  <c r="Y44" i="6" a="1"/>
  <c r="Y44" i="6" s="1"/>
  <c r="Y43" i="6" a="1"/>
  <c r="Y43" i="6" s="1"/>
  <c r="Y42" i="6" a="1"/>
  <c r="Y42" i="6" s="1"/>
  <c r="Y41" i="6" a="1"/>
  <c r="Y41" i="6" s="1"/>
  <c r="Y40" i="6" a="1"/>
  <c r="Y40" i="6" s="1"/>
  <c r="Y39" i="6" a="1"/>
  <c r="Y39" i="6" s="1"/>
  <c r="Y38" i="6" a="1"/>
  <c r="Y38" i="6" s="1"/>
  <c r="Y37" i="6" a="1"/>
  <c r="Y37" i="6" s="1"/>
  <c r="Y36" i="6" a="1"/>
  <c r="Y36" i="6" s="1"/>
  <c r="Y35" i="6" a="1"/>
  <c r="Y35" i="6" s="1"/>
  <c r="Y34" i="6" a="1"/>
  <c r="Y34" i="6" s="1"/>
  <c r="Y33" i="6" a="1"/>
  <c r="Y33" i="6" s="1"/>
  <c r="Y32" i="6" a="1"/>
  <c r="Y32" i="6" s="1"/>
  <c r="Y31" i="6" a="1"/>
  <c r="Y31" i="6" s="1"/>
  <c r="Y30" i="6" a="1"/>
  <c r="Y30" i="6" s="1"/>
  <c r="Y29" i="6" a="1"/>
  <c r="Y29" i="6" s="1"/>
  <c r="Y28" i="6" a="1"/>
  <c r="Y28" i="6" s="1"/>
  <c r="Y27" i="6" a="1"/>
  <c r="Y27" i="6" s="1"/>
  <c r="Y26" i="6" a="1"/>
  <c r="Y26" i="6" s="1"/>
  <c r="Y25" i="6" a="1"/>
  <c r="Y25" i="6" s="1"/>
  <c r="Y24" i="6" a="1"/>
  <c r="Y24" i="6" s="1"/>
  <c r="Y23" i="6" a="1"/>
  <c r="Y23" i="6" s="1"/>
  <c r="Y22" i="6" a="1"/>
  <c r="Y22" i="6" s="1"/>
  <c r="Y21" i="6" a="1"/>
  <c r="Y21" i="6" s="1"/>
  <c r="Y20" i="6" a="1"/>
  <c r="Y20" i="6" s="1"/>
  <c r="Y19" i="6" a="1"/>
  <c r="Y19" i="6" s="1"/>
  <c r="Y18" i="6" a="1"/>
  <c r="Y18" i="6" s="1"/>
  <c r="Y17" i="6" a="1"/>
  <c r="Y17" i="6" s="1"/>
  <c r="Y16" i="6" a="1"/>
  <c r="Y16" i="6" s="1"/>
  <c r="Y15" i="6" a="1"/>
  <c r="Y15" i="6" s="1"/>
  <c r="Y14" i="6" a="1"/>
  <c r="Y14" i="6" s="1"/>
  <c r="Y13" i="6" a="1"/>
  <c r="Y13" i="6" s="1"/>
  <c r="Y12" i="6" a="1"/>
  <c r="Y12" i="6" s="1"/>
  <c r="Y11" i="6" a="1"/>
  <c r="Y11" i="6" s="1"/>
  <c r="Y10" i="6" a="1"/>
  <c r="Y10" i="6" s="1"/>
  <c r="Y9" i="6" a="1"/>
  <c r="Y9" i="6" s="1"/>
  <c r="Y8" i="6" a="1"/>
  <c r="Y8" i="6" s="1"/>
  <c r="Y7" i="6" a="1"/>
  <c r="Y7" i="6" s="1"/>
  <c r="Y6" i="6" a="1"/>
  <c r="Y6" i="6" s="1"/>
  <c r="Y5" i="6" a="1"/>
  <c r="Y5" i="6" s="1"/>
  <c r="Y4" i="6" a="1"/>
  <c r="Y4" i="6" s="1"/>
  <c r="Y3" i="6" a="1"/>
  <c r="Y3" i="6" s="1"/>
  <c r="W2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U2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K2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2" i="6"/>
  <c r="I13" i="5"/>
  <c r="I12" i="5"/>
  <c r="I11" i="5"/>
  <c r="I10" i="5"/>
  <c r="I9" i="5"/>
  <c r="J8" i="5" a="1"/>
  <c r="J8" i="5" s="1"/>
  <c r="I8" i="5"/>
  <c r="I7" i="5"/>
  <c r="I6" i="5"/>
  <c r="I5" i="5"/>
  <c r="I4" i="5"/>
  <c r="I3" i="5"/>
  <c r="I2" i="5"/>
  <c r="C2" i="7"/>
  <c r="H11" i="7"/>
  <c r="H10" i="7"/>
  <c r="H9" i="7"/>
  <c r="H8" i="7"/>
  <c r="H7" i="7"/>
  <c r="H6" i="7"/>
  <c r="H5" i="7"/>
  <c r="H4" i="7"/>
  <c r="H3" i="7"/>
  <c r="H2" i="7"/>
  <c r="G11" i="7"/>
  <c r="G10" i="7"/>
  <c r="G9" i="7"/>
  <c r="G8" i="7"/>
  <c r="G7" i="7"/>
  <c r="G6" i="7"/>
  <c r="G5" i="7"/>
  <c r="G4" i="7"/>
  <c r="G3" i="7"/>
  <c r="G2" i="7"/>
  <c r="F11" i="7"/>
  <c r="F10" i="7"/>
  <c r="F9" i="7"/>
  <c r="F8" i="7"/>
  <c r="F7" i="7"/>
  <c r="F6" i="7"/>
  <c r="F5" i="7"/>
  <c r="F4" i="7"/>
  <c r="F3" i="7"/>
  <c r="F2" i="7"/>
  <c r="E3" i="7"/>
  <c r="E4" i="7"/>
  <c r="E5" i="7"/>
  <c r="E6" i="7"/>
  <c r="E7" i="7"/>
  <c r="E8" i="7"/>
  <c r="E9" i="7"/>
  <c r="E10" i="7"/>
  <c r="E11" i="7"/>
  <c r="E2" i="7"/>
  <c r="D3" i="7"/>
  <c r="D4" i="7"/>
  <c r="D5" i="7"/>
  <c r="D6" i="7"/>
  <c r="D7" i="7"/>
  <c r="D8" i="7"/>
  <c r="D9" i="7"/>
  <c r="D10" i="7"/>
  <c r="D11" i="7"/>
  <c r="D2" i="7"/>
  <c r="C3" i="7"/>
  <c r="C4" i="7"/>
  <c r="C5" i="7"/>
  <c r="C6" i="7"/>
  <c r="C7" i="7"/>
  <c r="C8" i="7"/>
  <c r="C9" i="7"/>
  <c r="C10" i="7"/>
  <c r="C11" i="7"/>
  <c r="AJ13" i="2" l="1"/>
  <c r="AI13" i="2"/>
  <c r="AH13" i="2"/>
  <c r="AG13" i="2"/>
  <c r="AF13" i="2"/>
  <c r="AE13" i="2"/>
  <c r="AJ12" i="2"/>
  <c r="AI12" i="2"/>
  <c r="AH12" i="2"/>
  <c r="AG12" i="2"/>
  <c r="AF12" i="2"/>
  <c r="AE12" i="2"/>
  <c r="AF6" i="2"/>
  <c r="AG6" i="2"/>
  <c r="AH6" i="2"/>
  <c r="AI6" i="2"/>
  <c r="AJ6" i="2"/>
  <c r="AF7" i="2"/>
  <c r="AG7" i="2"/>
  <c r="AH7" i="2"/>
  <c r="AI7" i="2"/>
  <c r="AJ7" i="2"/>
  <c r="AF8" i="2"/>
  <c r="AG8" i="2"/>
  <c r="AH8" i="2"/>
  <c r="AI8" i="2"/>
  <c r="AJ8" i="2"/>
  <c r="AF9" i="2"/>
  <c r="AG9" i="2"/>
  <c r="AH9" i="2"/>
  <c r="AI9" i="2"/>
  <c r="AJ9" i="2"/>
  <c r="AF10" i="2"/>
  <c r="AG10" i="2"/>
  <c r="AH10" i="2"/>
  <c r="AI10" i="2"/>
  <c r="AJ10" i="2"/>
  <c r="AF11" i="2"/>
  <c r="AG11" i="2"/>
  <c r="AH11" i="2"/>
  <c r="AI11" i="2"/>
  <c r="AJ11" i="2"/>
  <c r="AE7" i="2"/>
  <c r="AE8" i="2"/>
  <c r="AE9" i="2"/>
  <c r="AE10" i="2"/>
  <c r="AE11" i="2"/>
  <c r="AE6" i="2"/>
  <c r="AH5" i="2"/>
  <c r="AG5" i="2"/>
  <c r="AI5" i="2" s="1"/>
  <c r="AJ5" i="2" s="1"/>
  <c r="AF5" i="2"/>
  <c r="AE5" i="2"/>
  <c r="C12" i="7"/>
  <c r="G12" i="7"/>
  <c r="D12" i="7"/>
  <c r="E12" i="7"/>
  <c r="H12" i="7"/>
  <c r="F12" i="7"/>
  <c r="T12" i="2" l="1"/>
  <c r="U12" i="2"/>
  <c r="V12" i="2"/>
  <c r="S12" i="2"/>
  <c r="S4" i="2"/>
  <c r="T4" i="2"/>
  <c r="U4" i="2"/>
  <c r="V4" i="2"/>
  <c r="S5" i="2"/>
  <c r="T5" i="2"/>
  <c r="U5" i="2"/>
  <c r="V5" i="2"/>
  <c r="S6" i="2"/>
  <c r="T6" i="2"/>
  <c r="U6" i="2"/>
  <c r="V6" i="2"/>
  <c r="S7" i="2"/>
  <c r="T7" i="2"/>
  <c r="U7" i="2"/>
  <c r="V7" i="2"/>
  <c r="S8" i="2"/>
  <c r="T8" i="2"/>
  <c r="U8" i="2"/>
  <c r="V8" i="2"/>
  <c r="S9" i="2"/>
  <c r="T9" i="2"/>
  <c r="U9" i="2"/>
  <c r="V9" i="2"/>
  <c r="S10" i="2"/>
  <c r="T10" i="2"/>
  <c r="U10" i="2"/>
  <c r="V10" i="2"/>
  <c r="S11" i="2"/>
  <c r="T11" i="2"/>
  <c r="U11" i="2"/>
  <c r="V11" i="2"/>
  <c r="T3" i="2"/>
  <c r="U3" i="2"/>
  <c r="V3" i="2"/>
  <c r="S3" i="2"/>
  <c r="K5" i="2"/>
  <c r="K6" i="2"/>
  <c r="K7" i="2"/>
  <c r="K8" i="2"/>
  <c r="K9" i="2"/>
  <c r="K10" i="2"/>
  <c r="K11" i="2"/>
  <c r="K12" i="2"/>
  <c r="K4" i="2"/>
  <c r="O2" i="6"/>
  <c r="D11" i="2"/>
  <c r="D10" i="2"/>
  <c r="D9" i="2"/>
  <c r="D8" i="2"/>
  <c r="D7" i="2"/>
  <c r="D6" i="2"/>
  <c r="D5" i="2"/>
  <c r="D4" i="2"/>
  <c r="D3" i="2"/>
  <c r="D2" i="2"/>
  <c r="K35" i="4"/>
  <c r="J35" i="4"/>
  <c r="I35" i="4"/>
  <c r="K34" i="4"/>
  <c r="J34" i="4"/>
  <c r="I34" i="4"/>
  <c r="K33" i="4"/>
  <c r="J33" i="4"/>
  <c r="I33" i="4"/>
  <c r="K32" i="4"/>
  <c r="K31" i="4"/>
  <c r="J32" i="4"/>
  <c r="J31" i="4"/>
  <c r="I32" i="4"/>
  <c r="I31" i="4"/>
  <c r="C36" i="4"/>
  <c r="C37" i="4"/>
  <c r="D34" i="4"/>
  <c r="D33" i="4"/>
  <c r="D32" i="4"/>
  <c r="D31" i="4"/>
  <c r="I25" i="4"/>
  <c r="I26" i="4"/>
  <c r="I27" i="4"/>
  <c r="I24" i="4"/>
  <c r="D26" i="4"/>
  <c r="D25" i="4"/>
  <c r="I19" i="4"/>
  <c r="I18" i="4"/>
  <c r="I17" i="4"/>
  <c r="I16" i="4"/>
  <c r="H11" i="4"/>
  <c r="H10" i="4"/>
  <c r="I6" i="4"/>
  <c r="I5" i="4"/>
  <c r="I4" i="4"/>
  <c r="I3" i="4"/>
  <c r="C20" i="4"/>
  <c r="C19" i="4"/>
  <c r="C18" i="4"/>
  <c r="C13" i="4"/>
  <c r="C12" i="4"/>
  <c r="C11" i="4"/>
  <c r="C4" i="4"/>
  <c r="C5" i="4"/>
  <c r="C6" i="4"/>
  <c r="C3" i="4"/>
  <c r="S60" i="6"/>
  <c r="Q60" i="6"/>
  <c r="O60" i="6"/>
  <c r="S59" i="6"/>
  <c r="Q59" i="6"/>
  <c r="O59" i="6"/>
  <c r="S58" i="6"/>
  <c r="Q58" i="6"/>
  <c r="O58" i="6"/>
  <c r="S57" i="6"/>
  <c r="Q57" i="6"/>
  <c r="O57" i="6"/>
  <c r="S56" i="6"/>
  <c r="Q56" i="6"/>
  <c r="O56" i="6"/>
  <c r="S55" i="6"/>
  <c r="Q55" i="6"/>
  <c r="O55" i="6"/>
  <c r="S54" i="6"/>
  <c r="Q54" i="6"/>
  <c r="O54" i="6"/>
  <c r="S53" i="6"/>
  <c r="Q53" i="6"/>
  <c r="O53" i="6"/>
  <c r="S52" i="6"/>
  <c r="Q52" i="6"/>
  <c r="O52" i="6"/>
  <c r="S51" i="6"/>
  <c r="Q51" i="6"/>
  <c r="O51" i="6"/>
  <c r="S50" i="6"/>
  <c r="Q50" i="6"/>
  <c r="O50" i="6"/>
  <c r="S49" i="6"/>
  <c r="Q49" i="6"/>
  <c r="O49" i="6"/>
  <c r="S48" i="6"/>
  <c r="Q48" i="6"/>
  <c r="O48" i="6"/>
  <c r="S47" i="6"/>
  <c r="Q47" i="6"/>
  <c r="O47" i="6"/>
  <c r="S46" i="6"/>
  <c r="Q46" i="6"/>
  <c r="O46" i="6"/>
  <c r="S45" i="6"/>
  <c r="Q45" i="6"/>
  <c r="O45" i="6"/>
  <c r="S44" i="6"/>
  <c r="Q44" i="6"/>
  <c r="O44" i="6"/>
  <c r="S43" i="6"/>
  <c r="Q43" i="6"/>
  <c r="O43" i="6"/>
  <c r="S42" i="6"/>
  <c r="Q42" i="6"/>
  <c r="O42" i="6"/>
  <c r="S41" i="6"/>
  <c r="Q41" i="6"/>
  <c r="O41" i="6"/>
  <c r="S40" i="6"/>
  <c r="Q40" i="6"/>
  <c r="O40" i="6"/>
  <c r="S39" i="6"/>
  <c r="Q39" i="6"/>
  <c r="O39" i="6"/>
  <c r="S38" i="6"/>
  <c r="Q38" i="6"/>
  <c r="O38" i="6"/>
  <c r="S37" i="6"/>
  <c r="Q37" i="6"/>
  <c r="O37" i="6"/>
  <c r="S36" i="6"/>
  <c r="Q36" i="6"/>
  <c r="O36" i="6"/>
  <c r="S35" i="6"/>
  <c r="Q35" i="6"/>
  <c r="O35" i="6"/>
  <c r="S34" i="6"/>
  <c r="Q34" i="6"/>
  <c r="O34" i="6"/>
  <c r="S33" i="6"/>
  <c r="Q33" i="6"/>
  <c r="O33" i="6"/>
  <c r="S32" i="6"/>
  <c r="Q32" i="6"/>
  <c r="O32" i="6"/>
  <c r="S31" i="6"/>
  <c r="Q31" i="6"/>
  <c r="O31" i="6"/>
  <c r="S30" i="6"/>
  <c r="Q30" i="6"/>
  <c r="O30" i="6"/>
  <c r="S29" i="6"/>
  <c r="Q29" i="6"/>
  <c r="O29" i="6"/>
  <c r="S28" i="6"/>
  <c r="Q28" i="6"/>
  <c r="O28" i="6"/>
  <c r="S27" i="6"/>
  <c r="Q27" i="6"/>
  <c r="O27" i="6"/>
  <c r="S26" i="6"/>
  <c r="Q26" i="6"/>
  <c r="O26" i="6"/>
  <c r="S25" i="6"/>
  <c r="Q25" i="6"/>
  <c r="O25" i="6"/>
  <c r="S24" i="6"/>
  <c r="Q24" i="6"/>
  <c r="O24" i="6"/>
  <c r="S23" i="6"/>
  <c r="Q23" i="6"/>
  <c r="O23" i="6"/>
  <c r="S22" i="6"/>
  <c r="Q22" i="6"/>
  <c r="O22" i="6"/>
  <c r="S21" i="6"/>
  <c r="Q21" i="6"/>
  <c r="O21" i="6"/>
  <c r="S20" i="6"/>
  <c r="Q20" i="6"/>
  <c r="O20" i="6"/>
  <c r="S19" i="6"/>
  <c r="Q19" i="6"/>
  <c r="O19" i="6"/>
  <c r="S18" i="6"/>
  <c r="Q18" i="6"/>
  <c r="O18" i="6"/>
  <c r="S17" i="6"/>
  <c r="Q17" i="6"/>
  <c r="O17" i="6"/>
  <c r="S16" i="6"/>
  <c r="Q16" i="6"/>
  <c r="O16" i="6"/>
  <c r="S15" i="6"/>
  <c r="Q15" i="6"/>
  <c r="O15" i="6"/>
  <c r="S14" i="6"/>
  <c r="Q14" i="6"/>
  <c r="O14" i="6"/>
  <c r="S13" i="6"/>
  <c r="Q13" i="6"/>
  <c r="O13" i="6"/>
  <c r="S12" i="6"/>
  <c r="Q12" i="6"/>
  <c r="O12" i="6"/>
  <c r="S11" i="6"/>
  <c r="Q11" i="6"/>
  <c r="O11" i="6"/>
  <c r="S10" i="6"/>
  <c r="Q10" i="6"/>
  <c r="O10" i="6"/>
  <c r="S9" i="6"/>
  <c r="Q9" i="6"/>
  <c r="O9" i="6"/>
  <c r="S8" i="6"/>
  <c r="Q8" i="6"/>
  <c r="O8" i="6"/>
  <c r="S7" i="6"/>
  <c r="Q7" i="6"/>
  <c r="O7" i="6"/>
  <c r="S6" i="6"/>
  <c r="Q6" i="6"/>
  <c r="O6" i="6"/>
  <c r="S5" i="6"/>
  <c r="Q5" i="6"/>
  <c r="O5" i="6"/>
  <c r="S4" i="6"/>
  <c r="Q4" i="6"/>
  <c r="O4" i="6"/>
  <c r="S3" i="6"/>
  <c r="Q3" i="6"/>
  <c r="O3" i="6"/>
  <c r="S2" i="6"/>
  <c r="Q2" i="6"/>
  <c r="K13" i="2" l="1"/>
  <c r="AG16" i="2"/>
  <c r="AD11" i="2"/>
  <c r="AD10" i="2"/>
  <c r="AD9" i="2"/>
  <c r="AD8" i="2"/>
  <c r="AD7" i="2"/>
  <c r="AD6" i="2"/>
  <c r="D6" i="1" l="1"/>
  <c r="D12" i="1"/>
  <c r="D11" i="1"/>
  <c r="D9" i="1"/>
  <c r="D8" i="1"/>
  <c r="Z11" i="4"/>
  <c r="Z10" i="4"/>
  <c r="Z9" i="4"/>
  <c r="Z8" i="4"/>
  <c r="Z7" i="4"/>
  <c r="Z6" i="4"/>
  <c r="Z5" i="4"/>
  <c r="Z4" i="4"/>
  <c r="Z3" i="4"/>
  <c r="Z2" i="4"/>
  <c r="Z1" i="4"/>
  <c r="I10" i="4"/>
  <c r="T55" i="6"/>
  <c r="T38" i="6"/>
  <c r="J31" i="6"/>
  <c r="T4" i="6"/>
  <c r="T34" i="6"/>
  <c r="X12" i="6"/>
  <c r="P60" i="6"/>
  <c r="N16" i="6"/>
  <c r="N42" i="6"/>
  <c r="L39" i="6"/>
  <c r="L22" i="6"/>
  <c r="J34" i="6"/>
  <c r="Z27" i="6"/>
  <c r="R38" i="6"/>
  <c r="V48" i="6"/>
  <c r="D36" i="4"/>
  <c r="V47" i="6"/>
  <c r="N39" i="6"/>
  <c r="N56" i="6"/>
  <c r="AK8" i="2"/>
  <c r="J21" i="6"/>
  <c r="L45" i="6"/>
  <c r="V24" i="6"/>
  <c r="V7" i="6"/>
  <c r="J4" i="4"/>
  <c r="T45" i="6"/>
  <c r="N9" i="6"/>
  <c r="V56" i="6"/>
  <c r="R7" i="6"/>
  <c r="H57" i="6"/>
  <c r="X25" i="6"/>
  <c r="L55" i="6"/>
  <c r="Z14" i="6"/>
  <c r="T14" i="6"/>
  <c r="K3" i="5"/>
  <c r="J22" i="6"/>
  <c r="L29" i="6"/>
  <c r="L46" i="6"/>
  <c r="V19" i="6"/>
  <c r="V16" i="6"/>
  <c r="H30" i="6"/>
  <c r="N44" i="6"/>
  <c r="T7" i="6"/>
  <c r="V45" i="6"/>
  <c r="L6" i="6"/>
  <c r="H53" i="6"/>
  <c r="N35" i="6"/>
  <c r="T58" i="6"/>
  <c r="V46" i="6"/>
  <c r="L36" i="6"/>
  <c r="W10" i="2"/>
  <c r="L18" i="6"/>
  <c r="P55" i="6"/>
  <c r="J16" i="6"/>
  <c r="Z52" i="6"/>
  <c r="J5" i="6"/>
  <c r="X31" i="6"/>
  <c r="N52" i="6"/>
  <c r="AK5" i="2"/>
  <c r="Z33" i="6"/>
  <c r="X28" i="6"/>
  <c r="N20" i="6"/>
  <c r="X7" i="6"/>
  <c r="H29" i="6"/>
  <c r="T6" i="6"/>
  <c r="J16" i="4"/>
  <c r="Z22" i="6"/>
  <c r="V31" i="6"/>
  <c r="H46" i="6"/>
  <c r="Z9" i="6"/>
  <c r="L3" i="6"/>
  <c r="S13" i="2"/>
  <c r="X5" i="6"/>
  <c r="N38" i="6"/>
  <c r="Z42" i="6"/>
  <c r="T32" i="6"/>
  <c r="L25" i="6"/>
  <c r="V13" i="2"/>
  <c r="P53" i="6"/>
  <c r="H18" i="6"/>
  <c r="AK12" i="2"/>
  <c r="V20" i="6"/>
  <c r="J42" i="6"/>
  <c r="X16" i="6"/>
  <c r="J46" i="6"/>
  <c r="T23" i="6"/>
  <c r="P19" i="6"/>
  <c r="D19" i="4"/>
  <c r="E10" i="2"/>
  <c r="J28" i="6"/>
  <c r="H6" i="6"/>
  <c r="J5" i="4"/>
  <c r="R34" i="6"/>
  <c r="N37" i="6"/>
  <c r="V27" i="6"/>
  <c r="X36" i="6"/>
  <c r="R42" i="6"/>
  <c r="Z28" i="6"/>
  <c r="X37" i="6"/>
  <c r="X17" i="6"/>
  <c r="J10" i="6"/>
  <c r="P57" i="6"/>
  <c r="J11" i="6"/>
  <c r="K5" i="5"/>
  <c r="H37" i="6"/>
  <c r="V54" i="6"/>
  <c r="Z20" i="6"/>
  <c r="K10" i="5"/>
  <c r="Z56" i="6"/>
  <c r="Z54" i="6"/>
  <c r="J38" i="6"/>
  <c r="J20" i="6"/>
  <c r="P24" i="6"/>
  <c r="P35" i="6"/>
  <c r="L42" i="6"/>
  <c r="N46" i="6"/>
  <c r="J56" i="6"/>
  <c r="P16" i="6"/>
  <c r="H34" i="6"/>
  <c r="L4" i="6"/>
  <c r="D12" i="2"/>
  <c r="X18" i="6"/>
  <c r="T24" i="6"/>
  <c r="N6" i="6"/>
  <c r="N25" i="6"/>
  <c r="L28" i="6"/>
  <c r="R3" i="6"/>
  <c r="P48" i="6"/>
  <c r="H33" i="6"/>
  <c r="T31" i="6"/>
  <c r="T13" i="2"/>
  <c r="L44" i="6"/>
  <c r="N54" i="6"/>
  <c r="N28" i="6"/>
  <c r="H39" i="6"/>
  <c r="R56" i="6"/>
  <c r="R52" i="6"/>
  <c r="E7" i="2"/>
  <c r="H13" i="6"/>
  <c r="J7" i="6"/>
  <c r="X9" i="6"/>
  <c r="T60" i="6"/>
  <c r="X60" i="6"/>
  <c r="H3" i="6"/>
  <c r="N5" i="6"/>
  <c r="H5" i="6"/>
  <c r="H25" i="6"/>
  <c r="L20" i="6"/>
  <c r="T20" i="6"/>
  <c r="K14" i="2"/>
  <c r="T3" i="6"/>
  <c r="T57" i="6"/>
  <c r="V8" i="6"/>
  <c r="J47" i="6"/>
  <c r="N31" i="6"/>
  <c r="Z24" i="6"/>
  <c r="V43" i="6"/>
  <c r="T46" i="6"/>
  <c r="Z23" i="6"/>
  <c r="V49" i="6"/>
  <c r="R54" i="6"/>
  <c r="T9" i="6"/>
  <c r="N33" i="6"/>
  <c r="T15" i="6"/>
  <c r="V22" i="6"/>
  <c r="R12" i="6"/>
  <c r="H2" i="6"/>
  <c r="X29" i="6"/>
  <c r="R4" i="6"/>
  <c r="V51" i="6"/>
  <c r="Z6" i="6"/>
  <c r="J23" i="6"/>
  <c r="Z3" i="6"/>
  <c r="J27" i="4"/>
  <c r="J41" i="6"/>
  <c r="P34" i="6"/>
  <c r="R51" i="6"/>
  <c r="T40" i="6"/>
  <c r="N27" i="6"/>
  <c r="P15" i="6"/>
  <c r="L35" i="6"/>
  <c r="AK13" i="2"/>
  <c r="L12" i="6"/>
  <c r="J33" i="6"/>
  <c r="H22" i="6"/>
  <c r="P45" i="6"/>
  <c r="J6" i="4"/>
  <c r="P26" i="6"/>
  <c r="J48" i="6"/>
  <c r="J13" i="6"/>
  <c r="H52" i="6"/>
  <c r="Z48" i="6"/>
  <c r="Z49" i="6"/>
  <c r="N47" i="6"/>
  <c r="P32" i="6"/>
  <c r="E12" i="1"/>
  <c r="L10" i="6"/>
  <c r="X49" i="6"/>
  <c r="J36" i="4"/>
  <c r="R17" i="6"/>
  <c r="R24" i="6"/>
  <c r="V39" i="6"/>
  <c r="Z45" i="6"/>
  <c r="Z7" i="6"/>
  <c r="X38" i="6"/>
  <c r="Z12" i="6"/>
  <c r="L9" i="6"/>
  <c r="N45" i="6"/>
  <c r="Z30" i="6"/>
  <c r="X34" i="6"/>
  <c r="P39" i="6"/>
  <c r="Z59" i="6"/>
  <c r="L52" i="6"/>
  <c r="Z11" i="6"/>
  <c r="P21" i="6"/>
  <c r="H16" i="6"/>
  <c r="H27" i="6"/>
  <c r="R21" i="6"/>
  <c r="R44" i="6"/>
  <c r="K8" i="5"/>
  <c r="L4" i="2"/>
  <c r="E26" i="4"/>
  <c r="R32" i="6"/>
  <c r="L10" i="2"/>
  <c r="T44" i="6"/>
  <c r="V21" i="6"/>
  <c r="Z29" i="6"/>
  <c r="T28" i="6"/>
  <c r="P4" i="6"/>
  <c r="J18" i="4"/>
  <c r="D6" i="4"/>
  <c r="X23" i="6"/>
  <c r="R55" i="6"/>
  <c r="J6" i="6"/>
  <c r="V6" i="6"/>
  <c r="N22" i="6"/>
  <c r="P22" i="6"/>
  <c r="L34" i="6"/>
  <c r="Z17" i="6"/>
  <c r="Z4" i="6"/>
  <c r="X42" i="6"/>
  <c r="Z31" i="6"/>
  <c r="R58" i="6"/>
  <c r="L41" i="6"/>
  <c r="N2" i="6"/>
  <c r="X43" i="6"/>
  <c r="D11" i="4"/>
  <c r="AK11" i="2"/>
  <c r="E5" i="2"/>
  <c r="D4" i="4"/>
  <c r="E2" i="2"/>
  <c r="H14" i="6"/>
  <c r="P10" i="6"/>
  <c r="R48" i="6"/>
  <c r="N10" i="6"/>
  <c r="L24" i="6"/>
  <c r="P59" i="6"/>
  <c r="T48" i="6"/>
  <c r="H60" i="6"/>
  <c r="Z60" i="6"/>
  <c r="T50" i="6"/>
  <c r="T47" i="6"/>
  <c r="Z19" i="6"/>
  <c r="J36" i="6"/>
  <c r="N60" i="6"/>
  <c r="P29" i="6"/>
  <c r="P43" i="6"/>
  <c r="V17" i="6"/>
  <c r="X13" i="6"/>
  <c r="V34" i="6"/>
  <c r="X54" i="6"/>
  <c r="R40" i="6"/>
  <c r="X20" i="6"/>
  <c r="X10" i="6"/>
  <c r="R33" i="6"/>
  <c r="J27" i="6"/>
  <c r="Z16" i="6"/>
  <c r="T21" i="6"/>
  <c r="Z36" i="6"/>
  <c r="J3" i="4"/>
  <c r="R31" i="6"/>
  <c r="P11" i="6"/>
  <c r="N14" i="6"/>
  <c r="L49" i="6"/>
  <c r="N40" i="6"/>
  <c r="H41" i="6"/>
  <c r="P25" i="6"/>
  <c r="Z58" i="6"/>
  <c r="N30" i="6"/>
  <c r="AK7" i="2"/>
  <c r="L51" i="6"/>
  <c r="N7" i="6"/>
  <c r="V25" i="6"/>
  <c r="X32" i="6"/>
  <c r="N57" i="6"/>
  <c r="AK6" i="2"/>
  <c r="V42" i="6"/>
  <c r="H56" i="6"/>
  <c r="V55" i="6"/>
  <c r="V33" i="6"/>
  <c r="R19" i="6"/>
  <c r="L14" i="6"/>
  <c r="R47" i="6"/>
  <c r="L11" i="2"/>
  <c r="T52" i="6"/>
  <c r="L33" i="6"/>
  <c r="Z32" i="6"/>
  <c r="N4" i="6"/>
  <c r="P42" i="6"/>
  <c r="X8" i="6"/>
  <c r="L30" i="6"/>
  <c r="Z37" i="6"/>
  <c r="T10" i="6"/>
  <c r="E25" i="4"/>
  <c r="X45" i="6"/>
  <c r="P12" i="6"/>
  <c r="J25" i="6"/>
  <c r="L23" i="6"/>
  <c r="V14" i="6"/>
  <c r="X22" i="6"/>
  <c r="I36" i="4"/>
  <c r="H35" i="6"/>
  <c r="X41" i="6"/>
  <c r="X39" i="6"/>
  <c r="L31" i="6"/>
  <c r="V9" i="6"/>
  <c r="R36" i="6"/>
  <c r="N34" i="6"/>
  <c r="Z21" i="6"/>
  <c r="X6" i="6"/>
  <c r="X57" i="6"/>
  <c r="J49" i="6"/>
  <c r="L54" i="6"/>
  <c r="J39" i="6"/>
  <c r="P2" i="6"/>
  <c r="T22" i="6"/>
  <c r="V52" i="6"/>
  <c r="T33" i="6"/>
  <c r="X44" i="6"/>
  <c r="V36" i="6"/>
  <c r="V35" i="6"/>
  <c r="J17" i="4"/>
  <c r="T16" i="6"/>
  <c r="P3" i="6"/>
  <c r="P27" i="6"/>
  <c r="J60" i="6"/>
  <c r="K13" i="5"/>
  <c r="J51" i="6"/>
  <c r="J17" i="6"/>
  <c r="N32" i="6"/>
  <c r="Z57" i="6"/>
  <c r="H12" i="6"/>
  <c r="X55" i="6"/>
  <c r="L19" i="6"/>
  <c r="J2" i="6"/>
  <c r="R35" i="6"/>
  <c r="P41" i="6"/>
  <c r="N41" i="6"/>
  <c r="J24" i="6"/>
  <c r="P33" i="6"/>
  <c r="L59" i="6"/>
  <c r="H10" i="6"/>
  <c r="H11" i="6"/>
  <c r="T49" i="6"/>
  <c r="N59" i="6"/>
  <c r="V28" i="6"/>
  <c r="T43" i="6"/>
  <c r="R16" i="6"/>
  <c r="N43" i="6"/>
  <c r="Z35" i="6"/>
  <c r="N51" i="6"/>
  <c r="T54" i="6"/>
  <c r="R20" i="6"/>
  <c r="R15" i="6"/>
  <c r="V4" i="6"/>
  <c r="J10" i="4"/>
  <c r="T12" i="6"/>
  <c r="H49" i="6"/>
  <c r="P9" i="6"/>
  <c r="U13" i="2"/>
  <c r="X52" i="6"/>
  <c r="X15" i="6"/>
  <c r="N11" i="6"/>
  <c r="J24" i="4"/>
  <c r="K4" i="5"/>
  <c r="T8" i="6"/>
  <c r="R41" i="6"/>
  <c r="T42" i="6"/>
  <c r="L53" i="6"/>
  <c r="N36" i="6"/>
  <c r="R13" i="6"/>
  <c r="Z34" i="6"/>
  <c r="H24" i="6"/>
  <c r="L47" i="6"/>
  <c r="R28" i="6"/>
  <c r="E8" i="1"/>
  <c r="L2" i="6"/>
  <c r="Z50" i="6"/>
  <c r="J26" i="6"/>
  <c r="Z15" i="6"/>
  <c r="J59" i="6"/>
  <c r="X4" i="6"/>
  <c r="J26" i="4"/>
  <c r="H17" i="6"/>
  <c r="Z2" i="6"/>
  <c r="L60" i="6"/>
  <c r="V41" i="6"/>
  <c r="T51" i="6"/>
  <c r="R14" i="6"/>
  <c r="L21" i="6"/>
  <c r="E9" i="1"/>
  <c r="H48" i="6"/>
  <c r="N55" i="6"/>
  <c r="J19" i="6"/>
  <c r="V18" i="6"/>
  <c r="P38" i="6"/>
  <c r="Z46" i="6"/>
  <c r="T13" i="6"/>
  <c r="W9" i="2"/>
  <c r="T5" i="6"/>
  <c r="K7" i="5"/>
  <c r="H31" i="6"/>
  <c r="T26" i="6"/>
  <c r="R37" i="6"/>
  <c r="L5" i="6"/>
  <c r="Z41" i="6"/>
  <c r="N18" i="6"/>
  <c r="R22" i="6"/>
  <c r="H40" i="6"/>
  <c r="N3" i="6"/>
  <c r="N21" i="6"/>
  <c r="V15" i="6"/>
  <c r="N8" i="6"/>
  <c r="L11" i="6"/>
  <c r="Z10" i="6"/>
  <c r="J55" i="6"/>
  <c r="K12" i="5"/>
  <c r="Z43" i="6"/>
  <c r="R53" i="6"/>
  <c r="L27" i="6"/>
  <c r="J30" i="6"/>
  <c r="R49" i="6"/>
  <c r="V13" i="6"/>
  <c r="N49" i="6"/>
  <c r="T36" i="6"/>
  <c r="J58" i="6"/>
  <c r="V50" i="6"/>
  <c r="P30" i="6"/>
  <c r="L12" i="2"/>
  <c r="H19" i="6"/>
  <c r="T2" i="6"/>
  <c r="R25" i="6"/>
  <c r="E9" i="2"/>
  <c r="X40" i="6"/>
  <c r="R5" i="6"/>
  <c r="X59" i="6"/>
  <c r="H55" i="6"/>
  <c r="P52" i="6"/>
  <c r="N48" i="6"/>
  <c r="R26" i="6"/>
  <c r="J19" i="4"/>
  <c r="H42" i="6"/>
  <c r="L8" i="6"/>
  <c r="J43" i="6"/>
  <c r="T17" i="6"/>
  <c r="AK10" i="2"/>
  <c r="W12" i="2"/>
  <c r="H51" i="6"/>
  <c r="X27" i="6"/>
  <c r="P20" i="6"/>
  <c r="P5" i="6"/>
  <c r="X47" i="6"/>
  <c r="J9" i="6"/>
  <c r="W11" i="2"/>
  <c r="H23" i="6"/>
  <c r="P17" i="6"/>
  <c r="H26" i="6"/>
  <c r="P49" i="6"/>
  <c r="Z55" i="6"/>
  <c r="X56" i="6"/>
  <c r="D18" i="4"/>
  <c r="P44" i="6"/>
  <c r="X26" i="6"/>
  <c r="Z5" i="6"/>
  <c r="N26" i="6"/>
  <c r="H38" i="6"/>
  <c r="V44" i="6"/>
  <c r="L56" i="6"/>
  <c r="V32" i="6"/>
  <c r="J18" i="6"/>
  <c r="P50" i="6"/>
  <c r="H9" i="6"/>
  <c r="J57" i="6"/>
  <c r="T41" i="6"/>
  <c r="P47" i="6"/>
  <c r="T30" i="6"/>
  <c r="R27" i="6"/>
  <c r="N23" i="6"/>
  <c r="W6" i="2"/>
  <c r="P6" i="6"/>
  <c r="P58" i="6"/>
  <c r="AK9" i="2"/>
  <c r="P54" i="6"/>
  <c r="L7" i="6"/>
  <c r="P36" i="6"/>
  <c r="D12" i="4"/>
  <c r="X30" i="6"/>
  <c r="N58" i="6"/>
  <c r="X35" i="6"/>
  <c r="V38" i="6"/>
  <c r="V58" i="6"/>
  <c r="R50" i="6"/>
  <c r="T35" i="6"/>
  <c r="V29" i="6"/>
  <c r="J11" i="4"/>
  <c r="J40" i="6"/>
  <c r="L6" i="2"/>
  <c r="R43" i="6"/>
  <c r="H36" i="6"/>
  <c r="N29" i="6"/>
  <c r="E8" i="2"/>
  <c r="X2" i="6"/>
  <c r="R59" i="6"/>
  <c r="X53" i="6"/>
  <c r="N13" i="6"/>
  <c r="V23" i="6"/>
  <c r="Z25" i="6"/>
  <c r="H54" i="6"/>
  <c r="P31" i="6"/>
  <c r="T19" i="6"/>
  <c r="D13" i="4"/>
  <c r="L7" i="2"/>
  <c r="J35" i="6"/>
  <c r="V59" i="6"/>
  <c r="L43" i="6"/>
  <c r="R18" i="6"/>
  <c r="P13" i="6"/>
  <c r="J4" i="6"/>
  <c r="H43" i="6"/>
  <c r="L50" i="6"/>
  <c r="T27" i="6"/>
  <c r="T53" i="6"/>
  <c r="R60" i="6"/>
  <c r="V26" i="6"/>
  <c r="R6" i="6"/>
  <c r="H4" i="6"/>
  <c r="K9" i="5"/>
  <c r="N19" i="6"/>
  <c r="V11" i="6"/>
  <c r="T37" i="6"/>
  <c r="H45" i="6"/>
  <c r="J25" i="4"/>
  <c r="N15" i="6"/>
  <c r="L26" i="6"/>
  <c r="Z13" i="6"/>
  <c r="P8" i="6"/>
  <c r="D20" i="4"/>
  <c r="L37" i="6"/>
  <c r="X51" i="6"/>
  <c r="V53" i="6"/>
  <c r="K36" i="4"/>
  <c r="X50" i="6"/>
  <c r="J15" i="6"/>
  <c r="R39" i="6"/>
  <c r="J52" i="6"/>
  <c r="R29" i="6"/>
  <c r="R57" i="6"/>
  <c r="Z8" i="6"/>
  <c r="E4" i="2"/>
  <c r="H47" i="6"/>
  <c r="L48" i="6"/>
  <c r="R8" i="6"/>
  <c r="L15" i="6"/>
  <c r="P7" i="6"/>
  <c r="X19" i="6"/>
  <c r="H44" i="6"/>
  <c r="P56" i="6"/>
  <c r="T29" i="6"/>
  <c r="L58" i="6"/>
  <c r="R10" i="6"/>
  <c r="P46" i="6"/>
  <c r="Z39" i="6"/>
  <c r="K6" i="5"/>
  <c r="L9" i="2"/>
  <c r="L13" i="6"/>
  <c r="K2" i="5"/>
  <c r="P37" i="6"/>
  <c r="J8" i="6"/>
  <c r="P14" i="6"/>
  <c r="J12" i="6"/>
  <c r="L32" i="6"/>
  <c r="W5" i="2"/>
  <c r="N53" i="6"/>
  <c r="J50" i="6"/>
  <c r="J54" i="6"/>
  <c r="X33" i="6"/>
  <c r="V60" i="6"/>
  <c r="V37" i="6"/>
  <c r="D5" i="4"/>
  <c r="V3" i="6"/>
  <c r="R23" i="6"/>
  <c r="W3" i="2"/>
  <c r="L16" i="6"/>
  <c r="X58" i="6"/>
  <c r="Z53" i="6"/>
  <c r="R11" i="6"/>
  <c r="T56" i="6"/>
  <c r="H21" i="6"/>
  <c r="J37" i="6"/>
  <c r="P51" i="6"/>
  <c r="N24" i="6"/>
  <c r="Z26" i="6"/>
  <c r="H32" i="6"/>
  <c r="H20" i="6"/>
  <c r="E3" i="2"/>
  <c r="L40" i="6"/>
  <c r="T11" i="6"/>
  <c r="V10" i="6"/>
  <c r="R9" i="6"/>
  <c r="Z51" i="6"/>
  <c r="J44" i="6"/>
  <c r="T18" i="6"/>
  <c r="W4" i="2"/>
  <c r="P40" i="6"/>
  <c r="L8" i="2"/>
  <c r="P18" i="6"/>
  <c r="Z44" i="6"/>
  <c r="V57" i="6"/>
  <c r="H15" i="6"/>
  <c r="L38" i="6"/>
  <c r="L17" i="6"/>
  <c r="L5" i="2"/>
  <c r="Z38" i="6"/>
  <c r="N17" i="6"/>
  <c r="V12" i="6"/>
  <c r="V2" i="6"/>
  <c r="H58" i="6"/>
  <c r="P23" i="6"/>
  <c r="J45" i="6"/>
  <c r="X14" i="6"/>
  <c r="K11" i="5"/>
  <c r="V40" i="6"/>
  <c r="J3" i="6"/>
  <c r="J32" i="6"/>
  <c r="H59" i="6"/>
  <c r="W7" i="2"/>
  <c r="Z18" i="6"/>
  <c r="N12" i="6"/>
  <c r="X48" i="6"/>
  <c r="N50" i="6"/>
  <c r="J14" i="6"/>
  <c r="J53" i="6"/>
  <c r="T25" i="6"/>
  <c r="H50" i="6"/>
  <c r="V5" i="6"/>
  <c r="Z47" i="6"/>
  <c r="V30" i="6"/>
  <c r="R45" i="6"/>
  <c r="L57" i="6"/>
  <c r="J29" i="6"/>
  <c r="X24" i="6"/>
  <c r="X21" i="6"/>
  <c r="X46" i="6"/>
  <c r="T39" i="6"/>
  <c r="H28" i="6"/>
  <c r="T59" i="6"/>
  <c r="E6" i="2"/>
  <c r="E11" i="1"/>
  <c r="H8" i="6"/>
  <c r="W8" i="2"/>
  <c r="R2" i="6"/>
  <c r="Z40" i="6"/>
  <c r="P28" i="6"/>
  <c r="H7" i="6"/>
  <c r="R30" i="6"/>
  <c r="X3" i="6"/>
  <c r="R46" i="6"/>
  <c r="D3" i="4"/>
  <c r="X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<sst xmlns="http://schemas.openxmlformats.org/spreadsheetml/2006/main" count="520" uniqueCount="238">
  <si>
    <t>Name</t>
  </si>
  <si>
    <t>Department</t>
  </si>
  <si>
    <t>State</t>
  </si>
  <si>
    <t>Hours</t>
  </si>
  <si>
    <t>Abrams</t>
  </si>
  <si>
    <t>Sales</t>
  </si>
  <si>
    <t>WB</t>
  </si>
  <si>
    <t>Buckleitner</t>
  </si>
  <si>
    <t>MH</t>
  </si>
  <si>
    <t>Cohen</t>
  </si>
  <si>
    <t>Executive</t>
  </si>
  <si>
    <t>Colvin</t>
  </si>
  <si>
    <t>MP</t>
  </si>
  <si>
    <t>Total of Hrs</t>
  </si>
  <si>
    <t>Sum of total hrs without Function</t>
  </si>
  <si>
    <t>Sum of total hrs using function</t>
  </si>
  <si>
    <t>abs</t>
  </si>
  <si>
    <t>Value1</t>
  </si>
  <si>
    <t>Abs Value</t>
  </si>
  <si>
    <t>Formula</t>
  </si>
  <si>
    <t>value1</t>
  </si>
  <si>
    <t>value2</t>
  </si>
  <si>
    <t>Mod</t>
  </si>
  <si>
    <t>int</t>
  </si>
  <si>
    <t>sign</t>
  </si>
  <si>
    <t>mod</t>
  </si>
  <si>
    <t>rand</t>
  </si>
  <si>
    <t>randbetween</t>
  </si>
  <si>
    <t>mround</t>
  </si>
  <si>
    <t>power</t>
  </si>
  <si>
    <t>product</t>
  </si>
  <si>
    <t>Interger Value</t>
  </si>
  <si>
    <t>Random</t>
  </si>
  <si>
    <t>sumproduct</t>
  </si>
  <si>
    <t>Random  Between</t>
  </si>
  <si>
    <t>sum</t>
  </si>
  <si>
    <t>Product</t>
  </si>
  <si>
    <t>Sign</t>
  </si>
  <si>
    <t>Mround</t>
  </si>
  <si>
    <t>Value2</t>
  </si>
  <si>
    <t>Power</t>
  </si>
  <si>
    <t>Values</t>
  </si>
  <si>
    <t>Num of Digits</t>
  </si>
  <si>
    <t>Round</t>
  </si>
  <si>
    <t>RoundUp</t>
  </si>
  <si>
    <t>RoundDown</t>
  </si>
  <si>
    <t>SumProduct</t>
  </si>
  <si>
    <t>Emp Code</t>
  </si>
  <si>
    <t>Comm %</t>
  </si>
  <si>
    <t>Commission</t>
  </si>
  <si>
    <t>Relative Refrence</t>
  </si>
  <si>
    <t>Commission %</t>
  </si>
  <si>
    <t>EMP100006</t>
  </si>
  <si>
    <t>Amount</t>
  </si>
  <si>
    <t>Mix Refrence</t>
  </si>
  <si>
    <t>EMP100007</t>
  </si>
  <si>
    <t>Absolute Refrence</t>
  </si>
  <si>
    <t>1/2 Year Budget</t>
  </si>
  <si>
    <t>EMP100008</t>
  </si>
  <si>
    <t>Jan</t>
  </si>
  <si>
    <t>Feb</t>
  </si>
  <si>
    <t>Mar</t>
  </si>
  <si>
    <t>Apr</t>
  </si>
  <si>
    <t>May</t>
  </si>
  <si>
    <t>June</t>
  </si>
  <si>
    <t>EMP100009</t>
  </si>
  <si>
    <t>EMP100010</t>
  </si>
  <si>
    <t>EMP100011</t>
  </si>
  <si>
    <t>EMP100012</t>
  </si>
  <si>
    <t>EMP100013</t>
  </si>
  <si>
    <t>EMP100014</t>
  </si>
  <si>
    <t>Total Commission</t>
  </si>
  <si>
    <t>Total Expense</t>
  </si>
  <si>
    <t>Net Income</t>
  </si>
  <si>
    <t>Assumption Table</t>
  </si>
  <si>
    <t>Jan Start</t>
  </si>
  <si>
    <t>Rev % Increase</t>
  </si>
  <si>
    <t>Expense 1</t>
  </si>
  <si>
    <t>Expense 2</t>
  </si>
  <si>
    <t>Expense 3</t>
  </si>
  <si>
    <t>Expense 4</t>
  </si>
  <si>
    <t>Expense 5</t>
  </si>
  <si>
    <t>Expense 6</t>
  </si>
  <si>
    <t>=</t>
  </si>
  <si>
    <t>&gt;</t>
  </si>
  <si>
    <t>&gt;=</t>
  </si>
  <si>
    <t>&lt;</t>
  </si>
  <si>
    <t>&lt;=</t>
  </si>
  <si>
    <t>&lt;&gt;</t>
  </si>
  <si>
    <t>Refreshment Exp</t>
  </si>
  <si>
    <t>Count the records having Hours details</t>
  </si>
  <si>
    <t>Count the records having Refreshment Exp info</t>
  </si>
  <si>
    <t>Count the records missing the Refreshment Exp info</t>
  </si>
  <si>
    <t>Count the number of Employe's</t>
  </si>
  <si>
    <t>Coules</t>
  </si>
  <si>
    <t>Not Applicable</t>
  </si>
  <si>
    <t>Average of the Expenses done</t>
  </si>
  <si>
    <t>Dean</t>
  </si>
  <si>
    <t>IT</t>
  </si>
  <si>
    <t>Median of Refreshment Expenses</t>
  </si>
  <si>
    <t>DeshGJnde</t>
  </si>
  <si>
    <t>Finance</t>
  </si>
  <si>
    <t>UP</t>
  </si>
  <si>
    <t>Mode of Hours Single/Multiple</t>
  </si>
  <si>
    <t>DeTorres</t>
  </si>
  <si>
    <t>HR</t>
  </si>
  <si>
    <t>Rank of E9</t>
  </si>
  <si>
    <t>Dugan</t>
  </si>
  <si>
    <t>GJ</t>
  </si>
  <si>
    <t>Highest hours of working</t>
  </si>
  <si>
    <t>Fitts</t>
  </si>
  <si>
    <t>Lowest expenses paid</t>
  </si>
  <si>
    <t>Holt</t>
  </si>
  <si>
    <t>2nd highest hours of working</t>
  </si>
  <si>
    <t>Jorgensen</t>
  </si>
  <si>
    <t>3rd lowest refreshment expenses</t>
  </si>
  <si>
    <t>Kreanow</t>
  </si>
  <si>
    <t>Leung</t>
  </si>
  <si>
    <t>Liebowitz</t>
  </si>
  <si>
    <t>Lowenfeld</t>
  </si>
  <si>
    <t>Graphics</t>
  </si>
  <si>
    <t>HP</t>
  </si>
  <si>
    <t>Marciano</t>
  </si>
  <si>
    <t>Marone</t>
  </si>
  <si>
    <t>Marketing</t>
  </si>
  <si>
    <t>McGowan</t>
  </si>
  <si>
    <t>Meacham</t>
  </si>
  <si>
    <t>Minzner</t>
  </si>
  <si>
    <t>Novick</t>
  </si>
  <si>
    <t>GJllone</t>
  </si>
  <si>
    <t>Petsch</t>
  </si>
  <si>
    <t>Philips</t>
  </si>
  <si>
    <t>Rampulla</t>
  </si>
  <si>
    <t>Rehal</t>
  </si>
  <si>
    <t>Richardson</t>
  </si>
  <si>
    <t>Sipes</t>
  </si>
  <si>
    <t>Stryker</t>
  </si>
  <si>
    <t>Wilson</t>
  </si>
  <si>
    <t>Zarish</t>
  </si>
  <si>
    <t>Sales-Order-ID</t>
  </si>
  <si>
    <t>Sales Date</t>
  </si>
  <si>
    <t>Location</t>
  </si>
  <si>
    <t>Item</t>
  </si>
  <si>
    <t>Company Name</t>
  </si>
  <si>
    <t>Total Sales Amount</t>
  </si>
  <si>
    <t>If Text</t>
  </si>
  <si>
    <t>If Number</t>
  </si>
  <si>
    <t>And</t>
  </si>
  <si>
    <t>OR</t>
  </si>
  <si>
    <t>If-And</t>
  </si>
  <si>
    <t>If-Or</t>
  </si>
  <si>
    <t>And/OR</t>
  </si>
  <si>
    <t>Not Mumbai</t>
  </si>
  <si>
    <t>Nested If</t>
  </si>
  <si>
    <t>IFS</t>
  </si>
  <si>
    <t>D-L-6094</t>
  </si>
  <si>
    <t>Delhi</t>
  </si>
  <si>
    <t>Laptop</t>
  </si>
  <si>
    <t>Apple</t>
  </si>
  <si>
    <t>1. Write "Commission" If Sales Is More Than 200000 Otherwise "No Commission"</t>
  </si>
  <si>
    <t>M-T-7498</t>
  </si>
  <si>
    <t>Mumbai</t>
  </si>
  <si>
    <t>Tablet</t>
  </si>
  <si>
    <t>Samsung</t>
  </si>
  <si>
    <t xml:space="preserve">2. Provide 10% Commission If Sales Is More Than 200000 </t>
  </si>
  <si>
    <t>M-L-6885</t>
  </si>
  <si>
    <t xml:space="preserve">3. Provide Commission Of 10% If Company Name Is Apple And Item Is Latop </t>
  </si>
  <si>
    <t>D-T-1879</t>
  </si>
  <si>
    <t xml:space="preserve">4. Provide Commision Of 10% If Location Is Either Delhi Or Item Is Laptop  </t>
  </si>
  <si>
    <t>M-M-2615</t>
  </si>
  <si>
    <t>Mobile</t>
  </si>
  <si>
    <t>5. Provide Commssion Of 10% If Product Is Laptop Either Of The Company  Samsung Or Apple</t>
  </si>
  <si>
    <t>M-L-9627</t>
  </si>
  <si>
    <t xml:space="preserve">6. Provide Commission Of 5% If Location Is Not Mumbai </t>
  </si>
  <si>
    <t>D-M-8631</t>
  </si>
  <si>
    <t>7. Calculate commission on the basis of table given below</t>
  </si>
  <si>
    <t>M-L-5608</t>
  </si>
  <si>
    <t>8. Calculate commission % on the basis of table given below.</t>
  </si>
  <si>
    <t>B-L-4951</t>
  </si>
  <si>
    <t>Bangalore</t>
  </si>
  <si>
    <t>M-T-7800</t>
  </si>
  <si>
    <t>D-T-9017</t>
  </si>
  <si>
    <t>Start</t>
  </si>
  <si>
    <t>End</t>
  </si>
  <si>
    <t>Comm.Rate</t>
  </si>
  <si>
    <t>M-T-5773</t>
  </si>
  <si>
    <t>D-M-7776</t>
  </si>
  <si>
    <t>D-L-7931</t>
  </si>
  <si>
    <t>B-M-2408</t>
  </si>
  <si>
    <t>B-M-6386</t>
  </si>
  <si>
    <t>-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</si>
  <si>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</si>
  <si>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</si>
  <si>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</si>
  <si>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</si>
  <si>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</si>
  <si>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</si>
  <si>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</si>
  <si>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</si>
  <si>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</si>
  <si>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</si>
  <si>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</si>
  <si>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</si>
  <si>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</si>
  <si>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</si>
  <si>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Pune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</si>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</sst>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.00_);[Red]\(&quot;$&quot;#,##0.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14999847407452621"/>
      <name val="Congenial"/>
    </font>
    <font>
      <b/>
      <sz val="12"/>
      <color theme="0"/>
      <name val="Century Gothic"/>
      <family val="2"/>
    </font>
    <font>
      <sz val="14"/>
      <color theme="0"/>
      <name val="Congenial SemiBold"/>
    </font>
    <font>
      <b/>
      <sz val="12"/>
      <color rgb="FF993366"/>
      <name val="Calibri"/>
      <family val="2"/>
      <scheme val="minor"/>
    </font>
    <font>
      <sz val="11"/>
      <color theme="1"/>
      <name val="Bahnschrift"/>
      <family val="2"/>
    </font>
    <font>
      <b/>
      <sz val="14"/>
      <color theme="0"/>
      <name val="Bahnschrift"/>
      <family val="2"/>
    </font>
    <font>
      <b/>
      <sz val="18"/>
      <color theme="0"/>
      <name val="Bahnschrif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249977111117893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99"/>
        <bgColor theme="5"/>
      </patternFill>
    </fill>
    <fill>
      <patternFill patternType="solid">
        <fgColor rgb="FF1EA9BC"/>
        <bgColor theme="5"/>
      </patternFill>
    </fill>
    <fill>
      <patternFill patternType="solid">
        <fgColor rgb="FF993366"/>
        <bgColor indexed="64"/>
      </patternFill>
    </fill>
    <fill>
      <patternFill patternType="solid">
        <fgColor theme="7"/>
        <bgColor theme="7"/>
      </patternFill>
    </fill>
  </fills>
  <borders count="2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3" fillId="4" borderId="2"/>
    <xf numFmtId="0" fontId="1" fillId="0" borderId="2"/>
    <xf numFmtId="9" fontId="1" fillId="0" borderId="0" applyFont="0" applyFill="0" applyBorder="0" applyAlignment="0" applyProtection="0"/>
    <xf numFmtId="0" fontId="9" fillId="5" borderId="2">
      <alignment horizontal="center"/>
    </xf>
    <xf numFmtId="0" fontId="11" fillId="8" borderId="13">
      <alignment horizontal="center"/>
    </xf>
  </cellStyleXfs>
  <cellXfs count="65">
    <xf numFmtId="0" fontId="0" fillId="0" borderId="0" xfId="0"/>
    <xf numFmtId="0" fontId="0" fillId="2" borderId="2" xfId="0" applyFill="1" applyBorder="1"/>
    <xf numFmtId="0" fontId="0" fillId="0" borderId="2" xfId="0" applyBorder="1"/>
    <xf numFmtId="0" fontId="2" fillId="3" borderId="1" xfId="0" applyFont="1" applyFill="1" applyBorder="1"/>
    <xf numFmtId="0" fontId="4" fillId="5" borderId="2" xfId="1" applyFont="1" applyFill="1"/>
    <xf numFmtId="0" fontId="1" fillId="0" borderId="2" xfId="2"/>
    <xf numFmtId="9" fontId="1" fillId="0" borderId="2" xfId="2" applyNumberFormat="1"/>
    <xf numFmtId="0" fontId="3" fillId="0" borderId="0" xfId="0" applyFont="1"/>
    <xf numFmtId="0" fontId="5" fillId="0" borderId="0" xfId="0" applyFont="1"/>
    <xf numFmtId="0" fontId="0" fillId="0" borderId="5" xfId="0" applyBorder="1"/>
    <xf numFmtId="0" fontId="0" fillId="0" borderId="7" xfId="0" applyBorder="1"/>
    <xf numFmtId="0" fontId="0" fillId="0" borderId="6" xfId="0" applyBorder="1"/>
    <xf numFmtId="9" fontId="0" fillId="0" borderId="0" xfId="0" applyNumberFormat="1"/>
    <xf numFmtId="0" fontId="9" fillId="5" borderId="2" xfId="4">
      <alignment horizontal="center"/>
    </xf>
    <xf numFmtId="0" fontId="9" fillId="5" borderId="8" xfId="4" applyBorder="1">
      <alignment horizontal="center"/>
    </xf>
    <xf numFmtId="9" fontId="0" fillId="0" borderId="2" xfId="0" applyNumberFormat="1" applyBorder="1"/>
    <xf numFmtId="0" fontId="0" fillId="0" borderId="10" xfId="0" applyBorder="1"/>
    <xf numFmtId="9" fontId="9" fillId="5" borderId="2" xfId="4" applyNumberFormat="1">
      <alignment horizontal="center"/>
    </xf>
    <xf numFmtId="0" fontId="9" fillId="5" borderId="0" xfId="4" applyBorder="1">
      <alignment horizontal="center"/>
    </xf>
    <xf numFmtId="1" fontId="0" fillId="0" borderId="2" xfId="0" applyNumberFormat="1" applyBorder="1"/>
    <xf numFmtId="164" fontId="0" fillId="6" borderId="2" xfId="0" applyNumberFormat="1" applyFill="1" applyBorder="1"/>
    <xf numFmtId="0" fontId="0" fillId="0" borderId="11" xfId="0" applyBorder="1"/>
    <xf numFmtId="0" fontId="0" fillId="0" borderId="12" xfId="0" applyBorder="1"/>
    <xf numFmtId="164" fontId="0" fillId="0" borderId="2" xfId="0" applyNumberFormat="1" applyBorder="1"/>
    <xf numFmtId="164" fontId="0" fillId="0" borderId="0" xfId="0" applyNumberFormat="1"/>
    <xf numFmtId="10" fontId="0" fillId="0" borderId="2" xfId="3" applyNumberFormat="1" applyFont="1" applyBorder="1"/>
    <xf numFmtId="0" fontId="12" fillId="2" borderId="2" xfId="0" applyFont="1" applyFill="1" applyBorder="1"/>
    <xf numFmtId="0" fontId="12" fillId="0" borderId="2" xfId="0" applyFont="1" applyBorder="1"/>
    <xf numFmtId="0" fontId="12" fillId="2" borderId="4" xfId="0" applyFont="1" applyFill="1" applyBorder="1"/>
    <xf numFmtId="0" fontId="13" fillId="9" borderId="12" xfId="0" applyFont="1" applyFill="1" applyBorder="1"/>
    <xf numFmtId="0" fontId="14" fillId="10" borderId="14" xfId="0" applyFont="1" applyFill="1" applyBorder="1"/>
    <xf numFmtId="0" fontId="14" fillId="7" borderId="14" xfId="0" applyFont="1" applyFill="1" applyBorder="1"/>
    <xf numFmtId="0" fontId="10" fillId="11" borderId="2" xfId="4" applyFont="1" applyFill="1">
      <alignment horizontal="center"/>
    </xf>
    <xf numFmtId="0" fontId="0" fillId="0" borderId="2" xfId="0" applyBorder="1" applyAlignment="1">
      <alignment horizontal="left"/>
    </xf>
    <xf numFmtId="15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0" fontId="15" fillId="0" borderId="15" xfId="0" applyFont="1" applyBorder="1"/>
    <xf numFmtId="0" fontId="0" fillId="0" borderId="16" xfId="0" applyBorder="1"/>
    <xf numFmtId="0" fontId="0" fillId="0" borderId="17" xfId="0" applyBorder="1"/>
    <xf numFmtId="0" fontId="15" fillId="0" borderId="18" xfId="0" applyFont="1" applyBorder="1"/>
    <xf numFmtId="0" fontId="0" fillId="0" borderId="19" xfId="0" applyBorder="1"/>
    <xf numFmtId="0" fontId="7" fillId="0" borderId="0" xfId="0" applyFont="1"/>
    <xf numFmtId="0" fontId="1" fillId="0" borderId="10" xfId="2" applyBorder="1"/>
    <xf numFmtId="0" fontId="1" fillId="0" borderId="3" xfId="2" applyBorder="1"/>
    <xf numFmtId="0" fontId="1" fillId="0" borderId="6" xfId="2" applyBorder="1"/>
    <xf numFmtId="6" fontId="0" fillId="0" borderId="2" xfId="0" applyNumberFormat="1" applyBorder="1" applyAlignment="1">
      <alignment horizontal="right"/>
    </xf>
    <xf numFmtId="6" fontId="0" fillId="0" borderId="0" xfId="0" applyNumberFormat="1"/>
    <xf numFmtId="0" fontId="0" fillId="0" borderId="10" xfId="0" applyBorder="1" applyAlignment="1">
      <alignment horizontal="left"/>
    </xf>
    <xf numFmtId="6" fontId="0" fillId="0" borderId="20" xfId="0" applyNumberFormat="1" applyBorder="1" applyAlignment="1">
      <alignment horizontal="right"/>
    </xf>
    <xf numFmtId="0" fontId="10" fillId="11" borderId="3" xfId="4" applyFont="1" applyFill="1" applyBorder="1">
      <alignment horizontal="center"/>
    </xf>
    <xf numFmtId="0" fontId="0" fillId="0" borderId="6" xfId="0" applyBorder="1" applyAlignment="1">
      <alignment horizontal="left"/>
    </xf>
    <xf numFmtId="14" fontId="0" fillId="0" borderId="0" xfId="0" applyNumberFormat="1"/>
    <xf numFmtId="0" fontId="0" fillId="0" borderId="21" xfId="0" applyBorder="1"/>
    <xf numFmtId="0" fontId="16" fillId="2" borderId="22" xfId="0" applyFont="1" applyFill="1" applyBorder="1"/>
    <xf numFmtId="0" fontId="16" fillId="0" borderId="22" xfId="0" applyFont="1" applyBorder="1"/>
    <xf numFmtId="0" fontId="18" fillId="12" borderId="22" xfId="0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4" fontId="0" fillId="0" borderId="2" xfId="0" applyNumberFormat="1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9" fillId="5" borderId="2" xfId="4" applyAlignment="1">
      <alignment horizontal="center"/>
    </xf>
    <xf numFmtId="0" fontId="9" fillId="5" borderId="9" xfId="4" applyBorder="1" applyAlignment="1">
      <alignment horizontal="center"/>
    </xf>
  </cellXfs>
  <cellStyles count="6">
    <cellStyle name="contain 2" xfId="5" xr:uid="{CC42BB7C-66E2-47FF-9248-6ABE2DCA6701}"/>
    <cellStyle name="DataMba" xfId="2" xr:uid="{CC2515A5-70ED-4E2E-A405-905FDFCDB7C2}"/>
    <cellStyle name="HeadMba" xfId="1" xr:uid="{B8D58393-FA0C-4603-B054-A7149BE4C739}"/>
    <cellStyle name="Normal" xfId="0" builtinId="0"/>
    <cellStyle name="Percent" xfId="3" builtinId="5"/>
    <cellStyle name="Workshop" xfId="4" xr:uid="{3EDCE0DE-6E44-491F-A899-6C477AB691B6}"/>
  </cellStyles>
  <dxfs count="0"/>
  <tableStyles count="0" defaultTableStyle="TableStyleMedium2" defaultPivotStyle="PivotStyleLight16"/>
  <colors>
    <mruColors>
      <color rgb="FF1EA9B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BD87-071D-4E92-9462-D92077E64415}">
  <dimension ref="A1:E12"/>
  <sheetViews>
    <sheetView zoomScale="130" zoomScaleNormal="130" workbookViewId="0"/>
  </sheetViews>
  <sheetFormatPr defaultRowHeight="14.45"/>
  <cols>
    <col min="1" max="4" width="15" customWidth="1"/>
    <col min="5" max="5" width="18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</row>
    <row r="2" spans="1:5">
      <c r="A2" s="1" t="s">
        <v>4</v>
      </c>
      <c r="B2" s="1" t="s">
        <v>5</v>
      </c>
      <c r="C2" s="1" t="s">
        <v>6</v>
      </c>
      <c r="D2" s="1">
        <v>37</v>
      </c>
    </row>
    <row r="3" spans="1:5">
      <c r="A3" s="2" t="s">
        <v>7</v>
      </c>
      <c r="B3" s="2" t="s">
        <v>5</v>
      </c>
      <c r="C3" s="2" t="s">
        <v>8</v>
      </c>
      <c r="D3" s="2">
        <v>36</v>
      </c>
    </row>
    <row r="4" spans="1:5">
      <c r="A4" s="1" t="s">
        <v>9</v>
      </c>
      <c r="B4" s="1" t="s">
        <v>10</v>
      </c>
      <c r="C4" s="1" t="s">
        <v>6</v>
      </c>
      <c r="D4" s="1">
        <v>36</v>
      </c>
    </row>
    <row r="5" spans="1:5">
      <c r="A5" s="2" t="s">
        <v>11</v>
      </c>
      <c r="B5" s="2" t="s">
        <v>10</v>
      </c>
      <c r="C5" s="2" t="s">
        <v>12</v>
      </c>
      <c r="D5" s="2">
        <v>41</v>
      </c>
    </row>
    <row r="6" spans="1:5">
      <c r="C6" t="s">
        <v>13</v>
      </c>
      <c r="D6">
        <f>SUM(D2:D5)</f>
        <v>150</v>
      </c>
    </row>
    <row r="7" spans="1:5" ht="15" thickBot="1"/>
    <row r="8" spans="1:5" ht="15" customHeight="1" thickBot="1">
      <c r="C8" s="61" t="s">
        <v>14</v>
      </c>
      <c r="D8" s="10">
        <f>37+36+36+41</f>
        <v>150</v>
      </c>
      <c r="E8" s="11" t="str">
        <f ca="1">IFERROR(_xlfn.FORMULATEXT(D8),"")</f>
        <v>=37+36+36+41</v>
      </c>
    </row>
    <row r="9" spans="1:5" ht="15" thickBot="1">
      <c r="C9" s="62"/>
      <c r="D9" s="9">
        <f>D2+D3+D4+D5</f>
        <v>150</v>
      </c>
      <c r="E9" s="11" t="str">
        <f t="shared" ref="E9" ca="1" si="0">IFERROR(_xlfn.FORMULATEXT(D9),"")</f>
        <v>=D2+D3+D4+D5</v>
      </c>
    </row>
    <row r="10" spans="1:5" ht="15" thickBot="1"/>
    <row r="11" spans="1:5" ht="14.45" customHeight="1" thickBot="1">
      <c r="C11" s="59" t="s">
        <v>15</v>
      </c>
      <c r="D11" s="9">
        <f>SUM(D2,D3,D4,D5)</f>
        <v>150</v>
      </c>
      <c r="E11" s="11" t="str">
        <f ca="1">IFERROR(_xlfn.FORMULATEXT(D11),"")</f>
        <v>=SUM(D2,D3,D4,D5)</v>
      </c>
    </row>
    <row r="12" spans="1:5" ht="15" thickBot="1">
      <c r="C12" s="60"/>
      <c r="D12" s="9">
        <f>SUM(D2:D5)</f>
        <v>150</v>
      </c>
      <c r="E12" s="11" t="str">
        <f t="shared" ref="E12" ca="1" si="1">IFERROR(_xlfn.FORMULATEXT(D12),"")</f>
        <v>=SUM(D2:D5)</v>
      </c>
    </row>
  </sheetData>
  <mergeCells count="2">
    <mergeCell ref="C11:C12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EE35-229B-4051-B722-054D368BEA0E}">
  <dimension ref="B1:Z37"/>
  <sheetViews>
    <sheetView zoomScale="120" zoomScaleNormal="120" workbookViewId="0"/>
  </sheetViews>
  <sheetFormatPr defaultRowHeight="14.45"/>
  <cols>
    <col min="2" max="4" width="20.85546875" customWidth="1"/>
    <col min="5" max="5" width="16.42578125" bestFit="1" customWidth="1"/>
    <col min="7" max="7" width="20.42578125" bestFit="1" customWidth="1"/>
    <col min="8" max="8" width="15.28515625" bestFit="1" customWidth="1"/>
    <col min="9" max="9" width="28.28515625" customWidth="1"/>
    <col min="10" max="10" width="25.28515625" bestFit="1" customWidth="1"/>
    <col min="11" max="11" width="22.7109375" bestFit="1" customWidth="1"/>
  </cols>
  <sheetData>
    <row r="1" spans="2:26">
      <c r="Y1" t="s">
        <v>16</v>
      </c>
      <c r="Z1" t="str">
        <f>UPPER(Y1)&amp;"()"</f>
        <v>ABS()</v>
      </c>
    </row>
    <row r="2" spans="2:26" ht="18.600000000000001" thickBot="1">
      <c r="B2" s="4" t="s">
        <v>17</v>
      </c>
      <c r="C2" s="4" t="s">
        <v>18</v>
      </c>
      <c r="D2" t="s">
        <v>19</v>
      </c>
      <c r="G2" s="4" t="s">
        <v>20</v>
      </c>
      <c r="H2" s="4" t="s">
        <v>21</v>
      </c>
      <c r="I2" s="4" t="s">
        <v>22</v>
      </c>
      <c r="Y2" t="s">
        <v>23</v>
      </c>
      <c r="Z2" t="str">
        <f t="shared" ref="Z2:Z11" si="0">UPPER(Y2)&amp;"()"</f>
        <v>INT()</v>
      </c>
    </row>
    <row r="3" spans="2:26" ht="15" thickBot="1">
      <c r="B3" s="5">
        <v>2</v>
      </c>
      <c r="C3" s="42">
        <f>ABS(B3)</f>
        <v>2</v>
      </c>
      <c r="D3" s="11" t="str">
        <f ca="1">_xlfn.FORMULATEXT(C3)</f>
        <v>=ABS(B3)</v>
      </c>
      <c r="G3" s="5">
        <v>3</v>
      </c>
      <c r="H3" s="5">
        <v>2</v>
      </c>
      <c r="I3" s="5">
        <f>MOD(G3,H3)</f>
        <v>1</v>
      </c>
      <c r="J3" s="11" t="str">
        <f t="shared" ref="J3:J6" ca="1" si="1">_xlfn.FORMULATEXT(I3)</f>
        <v>=MOD(G3,H3)</v>
      </c>
      <c r="Y3" t="s">
        <v>24</v>
      </c>
      <c r="Z3" t="str">
        <f t="shared" si="0"/>
        <v>SIGN()</v>
      </c>
    </row>
    <row r="4" spans="2:26" ht="15" thickBot="1">
      <c r="B4" s="5">
        <v>-4</v>
      </c>
      <c r="C4" s="42">
        <f t="shared" ref="C4:C6" si="2">ABS(B4)</f>
        <v>4</v>
      </c>
      <c r="D4" s="11" t="str">
        <f t="shared" ref="D4:D6" ca="1" si="3">_xlfn.FORMULATEXT(C4)</f>
        <v>=ABS(B4)</v>
      </c>
      <c r="G4" s="5">
        <v>-3</v>
      </c>
      <c r="H4" s="5">
        <v>2</v>
      </c>
      <c r="I4" s="5">
        <f t="shared" ref="I4:I6" si="4">MOD(G4,H4)</f>
        <v>1</v>
      </c>
      <c r="J4" s="11" t="str">
        <f t="shared" ca="1" si="1"/>
        <v>=MOD(G4,H4)</v>
      </c>
      <c r="Y4" t="s">
        <v>25</v>
      </c>
      <c r="Z4" t="str">
        <f t="shared" si="0"/>
        <v>MOD()</v>
      </c>
    </row>
    <row r="5" spans="2:26" ht="15" thickBot="1">
      <c r="B5" s="2">
        <v>2.5</v>
      </c>
      <c r="C5" s="42">
        <f t="shared" si="2"/>
        <v>2.5</v>
      </c>
      <c r="D5" s="11" t="str">
        <f t="shared" ca="1" si="3"/>
        <v>=ABS(B5)</v>
      </c>
      <c r="G5" s="5">
        <v>3</v>
      </c>
      <c r="H5" s="5">
        <v>-2</v>
      </c>
      <c r="I5" s="5">
        <f t="shared" si="4"/>
        <v>-1</v>
      </c>
      <c r="J5" s="11" t="str">
        <f t="shared" ca="1" si="1"/>
        <v>=MOD(G5,H5)</v>
      </c>
      <c r="Y5" t="s">
        <v>26</v>
      </c>
      <c r="Z5" t="str">
        <f t="shared" si="0"/>
        <v>RAND()</v>
      </c>
    </row>
    <row r="6" spans="2:26" ht="15" thickBot="1">
      <c r="B6" s="2">
        <v>-4.5</v>
      </c>
      <c r="C6" s="42">
        <f t="shared" si="2"/>
        <v>4.5</v>
      </c>
      <c r="D6" s="11" t="str">
        <f t="shared" ca="1" si="3"/>
        <v>=ABS(B6)</v>
      </c>
      <c r="G6" s="5">
        <v>-3</v>
      </c>
      <c r="H6" s="5">
        <v>-2</v>
      </c>
      <c r="I6" s="5">
        <f t="shared" si="4"/>
        <v>-1</v>
      </c>
      <c r="J6" s="11" t="str">
        <f t="shared" ca="1" si="1"/>
        <v>=MOD(G6,H6)</v>
      </c>
      <c r="Y6" t="s">
        <v>27</v>
      </c>
      <c r="Z6" t="str">
        <f t="shared" si="0"/>
        <v>RANDBETWEEN()</v>
      </c>
    </row>
    <row r="7" spans="2:26">
      <c r="Y7" t="s">
        <v>28</v>
      </c>
      <c r="Z7" t="str">
        <f t="shared" si="0"/>
        <v>MROUND()</v>
      </c>
    </row>
    <row r="8" spans="2:26">
      <c r="Y8" t="s">
        <v>29</v>
      </c>
      <c r="Z8" t="str">
        <f t="shared" si="0"/>
        <v>POWER()</v>
      </c>
    </row>
    <row r="9" spans="2:26" ht="15" thickBot="1">
      <c r="Y9" t="s">
        <v>30</v>
      </c>
      <c r="Z9" t="str">
        <f t="shared" si="0"/>
        <v>PRODUCT()</v>
      </c>
    </row>
    <row r="10" spans="2:26" ht="18.600000000000001" thickBot="1">
      <c r="B10" s="4" t="s">
        <v>17</v>
      </c>
      <c r="C10" s="4" t="s">
        <v>31</v>
      </c>
      <c r="G10" s="4" t="s">
        <v>32</v>
      </c>
      <c r="H10" s="6">
        <f ca="1">RAND()</f>
        <v>0.78297570350792511</v>
      </c>
      <c r="I10" s="6">
        <f ca="1">RAND()</f>
        <v>0.69149006010527592</v>
      </c>
      <c r="J10" s="11" t="str">
        <f ca="1">_xlfn.FORMULATEXT(H10)</f>
        <v>=RAND()</v>
      </c>
      <c r="Y10" t="s">
        <v>33</v>
      </c>
      <c r="Z10" t="str">
        <f t="shared" si="0"/>
        <v>SUMPRODUCT()</v>
      </c>
    </row>
    <row r="11" spans="2:26" ht="18.600000000000001" thickBot="1">
      <c r="B11" s="5">
        <v>9.8000000000000007</v>
      </c>
      <c r="C11" s="5">
        <f>INT(B11)</f>
        <v>9</v>
      </c>
      <c r="D11" s="11" t="str">
        <f t="shared" ref="D11:D13" ca="1" si="5">_xlfn.FORMULATEXT(C11)</f>
        <v>=INT(B11)</v>
      </c>
      <c r="G11" s="4" t="s">
        <v>34</v>
      </c>
      <c r="H11" s="5">
        <f ca="1">RANDBETWEEN(1000,4000)</f>
        <v>2259</v>
      </c>
      <c r="I11" s="5"/>
      <c r="J11" s="11" t="str">
        <f t="shared" ref="J11" ca="1" si="6">_xlfn.FORMULATEXT(H11)</f>
        <v>=RANDBETWEEN(1000,4000)</v>
      </c>
      <c r="Y11" t="s">
        <v>35</v>
      </c>
      <c r="Z11" t="str">
        <f t="shared" si="0"/>
        <v>SUM()</v>
      </c>
    </row>
    <row r="12" spans="2:26" ht="15" thickBot="1">
      <c r="B12" s="5">
        <v>-8.9</v>
      </c>
      <c r="C12" s="5">
        <f t="shared" ref="C12:C13" si="7">INT(B12)</f>
        <v>-9</v>
      </c>
      <c r="D12" s="11" t="str">
        <f t="shared" ca="1" si="5"/>
        <v>=INT(B12)</v>
      </c>
    </row>
    <row r="13" spans="2:26" ht="15" thickBot="1">
      <c r="B13" s="5">
        <v>10.5</v>
      </c>
      <c r="C13" s="5">
        <f t="shared" si="7"/>
        <v>10</v>
      </c>
      <c r="D13" s="11" t="str">
        <f t="shared" ca="1" si="5"/>
        <v>=INT(B13)</v>
      </c>
    </row>
    <row r="15" spans="2:26" ht="18.600000000000001" thickBot="1">
      <c r="G15" s="4" t="s">
        <v>20</v>
      </c>
      <c r="H15" s="4" t="s">
        <v>21</v>
      </c>
      <c r="I15" s="4" t="s">
        <v>36</v>
      </c>
    </row>
    <row r="16" spans="2:26" ht="15" thickBot="1">
      <c r="G16" s="5">
        <v>5</v>
      </c>
      <c r="H16" s="5">
        <v>2</v>
      </c>
      <c r="I16" s="5">
        <f>G16*H16</f>
        <v>10</v>
      </c>
      <c r="J16" s="11" t="str">
        <f t="shared" ref="J16:J19" ca="1" si="8">_xlfn.FORMULATEXT(I16)</f>
        <v>=G16*H16</v>
      </c>
    </row>
    <row r="17" spans="2:11" ht="18.600000000000001" thickBot="1">
      <c r="B17" s="4" t="s">
        <v>17</v>
      </c>
      <c r="C17" s="4" t="s">
        <v>37</v>
      </c>
      <c r="G17" s="5">
        <v>-5</v>
      </c>
      <c r="H17" s="5">
        <v>2</v>
      </c>
      <c r="I17" s="5">
        <f t="shared" ref="I17:I19" si="9">G17*H17</f>
        <v>-10</v>
      </c>
      <c r="J17" s="11" t="str">
        <f t="shared" ca="1" si="8"/>
        <v>=G17*H17</v>
      </c>
    </row>
    <row r="18" spans="2:11" ht="15" thickBot="1">
      <c r="B18" s="5">
        <v>8.9</v>
      </c>
      <c r="C18" s="5">
        <f>SIGN(B18)</f>
        <v>1</v>
      </c>
      <c r="D18" s="11" t="str">
        <f t="shared" ref="D18:D20" ca="1" si="10">_xlfn.FORMULATEXT(C18)</f>
        <v>=SIGN(B18)</v>
      </c>
      <c r="G18" s="5">
        <v>5</v>
      </c>
      <c r="H18" s="5">
        <v>-2</v>
      </c>
      <c r="I18" s="5">
        <f t="shared" si="9"/>
        <v>-10</v>
      </c>
      <c r="J18" s="11" t="str">
        <f t="shared" ca="1" si="8"/>
        <v>=G18*H18</v>
      </c>
    </row>
    <row r="19" spans="2:11" ht="15" thickBot="1">
      <c r="B19" s="5">
        <v>-8.9</v>
      </c>
      <c r="C19" s="5">
        <f t="shared" ref="C19:C20" si="11">SIGN(B19)</f>
        <v>-1</v>
      </c>
      <c r="D19" s="11" t="str">
        <f t="shared" ca="1" si="10"/>
        <v>=SIGN(B19)</v>
      </c>
      <c r="G19" s="5">
        <v>-5</v>
      </c>
      <c r="H19" s="5">
        <v>-2</v>
      </c>
      <c r="I19" s="5">
        <f t="shared" si="9"/>
        <v>10</v>
      </c>
      <c r="J19" s="11" t="str">
        <f t="shared" ca="1" si="8"/>
        <v>=G19*H19</v>
      </c>
    </row>
    <row r="20" spans="2:11" ht="18.600000000000001" thickBot="1">
      <c r="B20" s="5">
        <v>0</v>
      </c>
      <c r="C20" s="5">
        <f t="shared" si="11"/>
        <v>0</v>
      </c>
      <c r="D20" s="11" t="str">
        <f t="shared" ca="1" si="10"/>
        <v>=SIGN(B20)</v>
      </c>
      <c r="G20" s="7"/>
      <c r="H20" s="7"/>
      <c r="I20" s="7"/>
    </row>
    <row r="21" spans="2:11" ht="18">
      <c r="G21" s="7"/>
      <c r="H21" s="7"/>
      <c r="I21" s="7"/>
    </row>
    <row r="22" spans="2:11" ht="18">
      <c r="G22" s="8"/>
      <c r="H22" s="7"/>
      <c r="I22" s="7"/>
    </row>
    <row r="23" spans="2:11" ht="18.600000000000001" thickBot="1">
      <c r="G23" s="4" t="s">
        <v>20</v>
      </c>
      <c r="H23" s="4" t="s">
        <v>21</v>
      </c>
      <c r="I23" s="4" t="s">
        <v>38</v>
      </c>
    </row>
    <row r="24" spans="2:11" ht="18.600000000000001" thickBot="1">
      <c r="B24" s="4" t="s">
        <v>17</v>
      </c>
      <c r="C24" s="4" t="s">
        <v>39</v>
      </c>
      <c r="D24" s="4" t="s">
        <v>40</v>
      </c>
      <c r="G24" s="5">
        <v>456744</v>
      </c>
      <c r="H24" s="5">
        <v>1000</v>
      </c>
      <c r="I24" s="5">
        <f>MROUND(G24,H24)</f>
        <v>457000</v>
      </c>
      <c r="J24" s="11" t="str">
        <f t="shared" ref="J24:J27" ca="1" si="12">_xlfn.FORMULATEXT(I24)</f>
        <v>=MROUND(G24,H24)</v>
      </c>
    </row>
    <row r="25" spans="2:11" ht="15" thickBot="1">
      <c r="B25" s="5">
        <v>3</v>
      </c>
      <c r="C25" s="5">
        <v>2</v>
      </c>
      <c r="D25" s="5">
        <f>POWER(B25,C25)</f>
        <v>9</v>
      </c>
      <c r="E25" s="11" t="str">
        <f t="shared" ref="E25:E26" ca="1" si="13">_xlfn.FORMULATEXT(D25)</f>
        <v>=POWER(B25,C25)</v>
      </c>
      <c r="G25" s="5">
        <v>-10</v>
      </c>
      <c r="H25" s="5">
        <v>-3</v>
      </c>
      <c r="I25" s="5">
        <f t="shared" ref="I25:I27" si="14">MROUND(G25,H25)</f>
        <v>-9</v>
      </c>
      <c r="J25" s="11" t="str">
        <f t="shared" ca="1" si="12"/>
        <v>=MROUND(G25,H25)</v>
      </c>
    </row>
    <row r="26" spans="2:11" ht="15" thickBot="1">
      <c r="B26" s="5">
        <v>2</v>
      </c>
      <c r="C26" s="5">
        <v>3</v>
      </c>
      <c r="D26" s="5">
        <f>B26^C26</f>
        <v>8</v>
      </c>
      <c r="E26" s="11" t="str">
        <f t="shared" ca="1" si="13"/>
        <v>=B26^C26</v>
      </c>
      <c r="G26" s="5">
        <v>1.3</v>
      </c>
      <c r="H26" s="5">
        <v>0.2</v>
      </c>
      <c r="I26" s="5">
        <f t="shared" si="14"/>
        <v>1.4000000000000001</v>
      </c>
      <c r="J26" s="11" t="str">
        <f t="shared" ca="1" si="12"/>
        <v>=MROUND(G26,H26)</v>
      </c>
    </row>
    <row r="27" spans="2:11" ht="15" thickBot="1">
      <c r="G27" s="5">
        <v>5</v>
      </c>
      <c r="H27" s="5">
        <v>-2</v>
      </c>
      <c r="I27" s="5" t="e">
        <f t="shared" si="14"/>
        <v>#NUM!</v>
      </c>
      <c r="J27" s="11" t="str">
        <f t="shared" ca="1" si="12"/>
        <v>=MROUND(G27,H27)</v>
      </c>
    </row>
    <row r="30" spans="2:11" ht="18">
      <c r="B30" s="4" t="s">
        <v>20</v>
      </c>
      <c r="C30" s="4" t="s">
        <v>21</v>
      </c>
      <c r="G30" s="4" t="s">
        <v>41</v>
      </c>
      <c r="H30" s="4" t="s">
        <v>42</v>
      </c>
      <c r="I30" s="4" t="s">
        <v>43</v>
      </c>
      <c r="J30" s="4" t="s">
        <v>44</v>
      </c>
      <c r="K30" s="4" t="s">
        <v>45</v>
      </c>
    </row>
    <row r="31" spans="2:11">
      <c r="B31" s="5">
        <v>10</v>
      </c>
      <c r="C31" s="5">
        <v>2</v>
      </c>
      <c r="D31">
        <f>B31*C31</f>
        <v>20</v>
      </c>
      <c r="G31" s="5">
        <v>2345.6734700000002</v>
      </c>
      <c r="H31" s="5">
        <v>2</v>
      </c>
      <c r="I31" s="5">
        <f>ROUND(G31,H31)</f>
        <v>2345.67</v>
      </c>
      <c r="J31" s="5">
        <f>ROUNDUP(G31,H31)</f>
        <v>2345.6800000000003</v>
      </c>
      <c r="K31" s="5">
        <f>ROUNDDOWN(G31,H31)</f>
        <v>2345.67</v>
      </c>
    </row>
    <row r="32" spans="2:11">
      <c r="B32" s="5">
        <v>10</v>
      </c>
      <c r="C32" s="5">
        <v>3</v>
      </c>
      <c r="D32">
        <f t="shared" ref="D32:D34" si="15">B32*C32</f>
        <v>30</v>
      </c>
      <c r="G32" s="5">
        <v>2345.6734700000002</v>
      </c>
      <c r="H32" s="5">
        <v>4</v>
      </c>
      <c r="I32" s="5">
        <f>ROUND(G32,H32)</f>
        <v>2345.6734999999999</v>
      </c>
      <c r="J32" s="5">
        <f t="shared" ref="J32" si="16">ROUNDUP(G32,H32)</f>
        <v>2345.6735000000003</v>
      </c>
      <c r="K32" s="5">
        <f t="shared" ref="K32" si="17">ROUNDDOWN(G32,H32)</f>
        <v>2345.6734000000001</v>
      </c>
    </row>
    <row r="33" spans="2:11">
      <c r="B33" s="5">
        <v>10</v>
      </c>
      <c r="C33" s="5">
        <v>4</v>
      </c>
      <c r="D33">
        <f t="shared" si="15"/>
        <v>40</v>
      </c>
      <c r="G33" s="5">
        <v>2345.6734700000002</v>
      </c>
      <c r="H33" s="5">
        <v>0</v>
      </c>
      <c r="I33" s="5">
        <f>ROUND(G33,H33)</f>
        <v>2346</v>
      </c>
      <c r="J33" s="5">
        <f>ROUNDUP(G33,H33)</f>
        <v>2346</v>
      </c>
      <c r="K33" s="5">
        <f>ROUNDDOWN(G33,H33)</f>
        <v>2345</v>
      </c>
    </row>
    <row r="34" spans="2:11">
      <c r="B34" s="5">
        <v>10</v>
      </c>
      <c r="C34" s="5">
        <v>2</v>
      </c>
      <c r="D34">
        <f t="shared" si="15"/>
        <v>20</v>
      </c>
      <c r="G34" s="5">
        <v>2345.6734700000002</v>
      </c>
      <c r="H34" s="5">
        <v>-1</v>
      </c>
      <c r="I34" s="5">
        <f>ROUND(G34,H34)</f>
        <v>2350</v>
      </c>
      <c r="J34" s="5">
        <f>ROUNDUP(G34,H34)</f>
        <v>2350</v>
      </c>
      <c r="K34" s="5">
        <f>ROUNDDOWN(G34,H34)</f>
        <v>2340</v>
      </c>
    </row>
    <row r="35" spans="2:11" ht="15" thickBot="1">
      <c r="G35" s="5">
        <v>2345.6734700000002</v>
      </c>
      <c r="H35" s="5">
        <v>-3</v>
      </c>
      <c r="I35" s="43">
        <f>ROUND(G35,H35)</f>
        <v>2000</v>
      </c>
      <c r="J35" s="5">
        <f>ROUNDUP(G35,H35)</f>
        <v>3000</v>
      </c>
      <c r="K35" s="5">
        <f>ROUNDDOWN(G35,H35)</f>
        <v>2000</v>
      </c>
    </row>
    <row r="36" spans="2:11" ht="18.600000000000001" thickBot="1">
      <c r="B36" s="4" t="s">
        <v>46</v>
      </c>
      <c r="C36">
        <f>SUMPRODUCT(B31:B34,C31:C34)</f>
        <v>110</v>
      </c>
      <c r="D36" s="11" t="str">
        <f t="shared" ref="D36" ca="1" si="18">_xlfn.FORMULATEXT(C36)</f>
        <v>=SUMPRODUCT(B31:B34,C31:C34)</v>
      </c>
      <c r="I36" s="44" t="str">
        <f ca="1">_xlfn.FORMULATEXT(I31)</f>
        <v>=ROUND(G31,H31)</v>
      </c>
      <c r="J36" s="44" t="str">
        <f t="shared" ref="J36:K36" ca="1" si="19">_xlfn.FORMULATEXT(J31)</f>
        <v>=ROUNDUP(G31,H31)</v>
      </c>
      <c r="K36" s="44" t="str">
        <f t="shared" ca="1" si="19"/>
        <v>=ROUNDDOWN(G31,H31)</v>
      </c>
    </row>
    <row r="37" spans="2:11">
      <c r="C37">
        <f>SUM(D31:D34)</f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C269-C8E3-43BC-9BD9-1BE496C32405}">
  <dimension ref="A1:AK23"/>
  <sheetViews>
    <sheetView zoomScale="130" zoomScaleNormal="130" workbookViewId="0"/>
  </sheetViews>
  <sheetFormatPr defaultRowHeight="14.45"/>
  <cols>
    <col min="1" max="1" width="15.28515625" customWidth="1"/>
    <col min="2" max="2" width="11.5703125" customWidth="1"/>
    <col min="3" max="3" width="12.28515625" bestFit="1" customWidth="1"/>
    <col min="4" max="4" width="13.28515625" bestFit="1" customWidth="1"/>
    <col min="5" max="5" width="17.28515625" bestFit="1" customWidth="1"/>
    <col min="6" max="7" width="9.28515625" customWidth="1"/>
    <col min="9" max="9" width="10.7109375" bestFit="1" customWidth="1"/>
    <col min="10" max="10" width="12.28515625" bestFit="1" customWidth="1"/>
    <col min="11" max="11" width="14.5703125" bestFit="1" customWidth="1"/>
    <col min="12" max="12" width="18.28515625" bestFit="1" customWidth="1"/>
    <col min="13" max="13" width="9.85546875" customWidth="1"/>
    <col min="14" max="14" width="10.28515625" bestFit="1" customWidth="1"/>
    <col min="15" max="16" width="9.85546875" customWidth="1"/>
    <col min="17" max="17" width="10.7109375" bestFit="1" customWidth="1"/>
    <col min="18" max="18" width="9.85546875" customWidth="1"/>
    <col min="19" max="19" width="13.42578125" bestFit="1" customWidth="1"/>
    <col min="20" max="20" width="12.7109375" bestFit="1" customWidth="1"/>
    <col min="21" max="21" width="13.42578125" bestFit="1" customWidth="1"/>
    <col min="22" max="22" width="12.85546875" bestFit="1" customWidth="1"/>
    <col min="23" max="23" width="13.28515625" bestFit="1" customWidth="1"/>
    <col min="24" max="28" width="9.85546875" customWidth="1"/>
    <col min="30" max="30" width="14.28515625" bestFit="1" customWidth="1"/>
    <col min="31" max="36" width="10.85546875" bestFit="1" customWidth="1"/>
    <col min="37" max="37" width="18.140625" bestFit="1" customWidth="1"/>
  </cols>
  <sheetData>
    <row r="1" spans="1:37" ht="16.149999999999999" thickBot="1">
      <c r="A1" s="13" t="s">
        <v>47</v>
      </c>
      <c r="B1" s="13" t="s">
        <v>5</v>
      </c>
      <c r="C1" s="13" t="s">
        <v>48</v>
      </c>
      <c r="D1" s="13" t="s">
        <v>49</v>
      </c>
      <c r="E1" s="14" t="s">
        <v>50</v>
      </c>
      <c r="K1" s="13" t="s">
        <v>51</v>
      </c>
      <c r="L1" s="12">
        <v>0.05</v>
      </c>
      <c r="M1" s="12"/>
      <c r="N1" s="12"/>
      <c r="O1" s="12"/>
      <c r="P1" s="12"/>
      <c r="S1" s="13" t="s">
        <v>49</v>
      </c>
      <c r="W1" s="12"/>
      <c r="X1" s="12"/>
      <c r="Y1" s="12"/>
      <c r="Z1" s="12"/>
      <c r="AA1" s="12"/>
      <c r="AB1" s="12"/>
    </row>
    <row r="2" spans="1:37" ht="16.149999999999999" thickBot="1">
      <c r="A2" s="2" t="s">
        <v>52</v>
      </c>
      <c r="B2" s="2">
        <v>55000</v>
      </c>
      <c r="C2" s="15">
        <v>0.06</v>
      </c>
      <c r="D2" s="16">
        <f>B2*C2</f>
        <v>3300</v>
      </c>
      <c r="E2" s="11" t="str">
        <f ca="1">IFERROR(_xlfn.FORMULATEXT(D2),"")</f>
        <v>=B2*C2</v>
      </c>
      <c r="Q2" s="13" t="s">
        <v>47</v>
      </c>
      <c r="R2" s="13" t="s">
        <v>53</v>
      </c>
      <c r="S2" s="17">
        <v>0.05</v>
      </c>
      <c r="T2" s="17">
        <v>0.1</v>
      </c>
      <c r="U2" s="17">
        <v>0.12</v>
      </c>
      <c r="V2" s="17">
        <v>0.15</v>
      </c>
      <c r="W2" s="17" t="s">
        <v>54</v>
      </c>
    </row>
    <row r="3" spans="1:37" ht="16.149999999999999" thickBot="1">
      <c r="A3" s="2" t="s">
        <v>55</v>
      </c>
      <c r="B3" s="2">
        <v>9350</v>
      </c>
      <c r="C3" s="15">
        <v>0.05</v>
      </c>
      <c r="D3" s="16">
        <f t="shared" ref="D3:D10" si="0">B3*C3</f>
        <v>467.5</v>
      </c>
      <c r="E3" s="11" t="str">
        <f t="shared" ref="E3:E10" ca="1" si="1">IFERROR(_xlfn.FORMULATEXT(D3),"")</f>
        <v>=B3*C3</v>
      </c>
      <c r="I3" s="13" t="s">
        <v>47</v>
      </c>
      <c r="J3" s="13" t="s">
        <v>5</v>
      </c>
      <c r="K3" s="13" t="s">
        <v>49</v>
      </c>
      <c r="L3" s="18" t="s">
        <v>56</v>
      </c>
      <c r="Q3" s="2" t="s">
        <v>52</v>
      </c>
      <c r="R3" s="2">
        <v>55000</v>
      </c>
      <c r="S3" s="2">
        <f>$R3*S$2</f>
        <v>2750</v>
      </c>
      <c r="T3" s="2">
        <f t="shared" ref="T3:V11" si="2">$R3*T$2</f>
        <v>5500</v>
      </c>
      <c r="U3" s="2">
        <f t="shared" si="2"/>
        <v>6600</v>
      </c>
      <c r="V3" s="2">
        <f t="shared" si="2"/>
        <v>8250</v>
      </c>
      <c r="W3" s="11" t="str">
        <f ca="1">IFERROR(_xlfn.FORMULATEXT(S3),"")</f>
        <v>=$R3*S$2</v>
      </c>
      <c r="AD3" s="63" t="s">
        <v>57</v>
      </c>
      <c r="AE3" s="63"/>
      <c r="AF3" s="63"/>
      <c r="AG3" s="63"/>
      <c r="AH3" s="63"/>
      <c r="AI3" s="63"/>
      <c r="AJ3" s="63"/>
    </row>
    <row r="4" spans="1:37" ht="16.149999999999999" thickBot="1">
      <c r="A4" s="2" t="s">
        <v>58</v>
      </c>
      <c r="B4" s="2">
        <v>11275</v>
      </c>
      <c r="C4" s="15">
        <v>0.05</v>
      </c>
      <c r="D4" s="16">
        <f t="shared" si="0"/>
        <v>563.75</v>
      </c>
      <c r="E4" s="11" t="str">
        <f t="shared" ca="1" si="1"/>
        <v>=B4*C4</v>
      </c>
      <c r="I4" s="2" t="s">
        <v>52</v>
      </c>
      <c r="J4" s="19">
        <v>55000</v>
      </c>
      <c r="K4" s="2">
        <f>J4*$L$1</f>
        <v>2750</v>
      </c>
      <c r="L4" s="11" t="str">
        <f ca="1">IFERROR(_xlfn.FORMULATEXT(K4),"")</f>
        <v>=J4*$L$1</v>
      </c>
      <c r="Q4" s="2" t="s">
        <v>55</v>
      </c>
      <c r="R4" s="2">
        <v>9350</v>
      </c>
      <c r="S4" s="2">
        <f t="shared" ref="S4:S11" si="3">$R4*S$2</f>
        <v>467.5</v>
      </c>
      <c r="T4" s="2">
        <f t="shared" si="2"/>
        <v>935</v>
      </c>
      <c r="U4" s="2">
        <f t="shared" si="2"/>
        <v>1122</v>
      </c>
      <c r="V4" s="2">
        <f t="shared" si="2"/>
        <v>1402.5</v>
      </c>
      <c r="W4" s="11" t="str">
        <f t="shared" ref="W4:W12" ca="1" si="4">IFERROR(_xlfn.FORMULATEXT(S4),"")</f>
        <v>=$R4*S$2</v>
      </c>
      <c r="AD4" s="2"/>
      <c r="AE4" s="13" t="s">
        <v>59</v>
      </c>
      <c r="AF4" s="13" t="s">
        <v>60</v>
      </c>
      <c r="AG4" s="13" t="s">
        <v>61</v>
      </c>
      <c r="AH4" s="13" t="s">
        <v>62</v>
      </c>
      <c r="AI4" s="13" t="s">
        <v>63</v>
      </c>
      <c r="AJ4" s="13" t="s">
        <v>64</v>
      </c>
    </row>
    <row r="5" spans="1:37" ht="15" thickBot="1">
      <c r="A5" s="2" t="s">
        <v>65</v>
      </c>
      <c r="B5" s="2">
        <v>8250</v>
      </c>
      <c r="C5" s="15">
        <v>0.05</v>
      </c>
      <c r="D5" s="16">
        <f t="shared" si="0"/>
        <v>412.5</v>
      </c>
      <c r="E5" s="11" t="str">
        <f t="shared" ca="1" si="1"/>
        <v>=B5*C5</v>
      </c>
      <c r="I5" s="2" t="s">
        <v>55</v>
      </c>
      <c r="J5" s="2">
        <v>9350</v>
      </c>
      <c r="K5" s="2">
        <f t="shared" ref="K5:K12" si="5">J5*$L$1</f>
        <v>467.5</v>
      </c>
      <c r="L5" s="11" t="str">
        <f t="shared" ref="L5:L12" ca="1" si="6">IFERROR(_xlfn.FORMULATEXT(K5),"")</f>
        <v>=J5*$L$1</v>
      </c>
      <c r="Q5" s="2" t="s">
        <v>58</v>
      </c>
      <c r="R5" s="2">
        <v>11275</v>
      </c>
      <c r="S5" s="2">
        <f t="shared" si="3"/>
        <v>563.75</v>
      </c>
      <c r="T5" s="2">
        <f t="shared" si="2"/>
        <v>1127.5</v>
      </c>
      <c r="U5" s="2">
        <f t="shared" si="2"/>
        <v>1353</v>
      </c>
      <c r="V5" s="2">
        <f t="shared" si="2"/>
        <v>1691.25</v>
      </c>
      <c r="W5" s="11" t="str">
        <f t="shared" ca="1" si="4"/>
        <v>=$R5*S$2</v>
      </c>
      <c r="AD5" s="19" t="s">
        <v>5</v>
      </c>
      <c r="AE5" s="20">
        <f>AE16</f>
        <v>55000</v>
      </c>
      <c r="AF5" s="20">
        <f>AE5+(AE5*$AE$17)</f>
        <v>57612.5</v>
      </c>
      <c r="AG5" s="20">
        <f t="shared" ref="AG5:AJ5" si="7">AF5+(AF5*$AE$17)</f>
        <v>60349.09375</v>
      </c>
      <c r="AH5" s="20">
        <f>AG5+(AG5*$AE$17)</f>
        <v>63215.675703125002</v>
      </c>
      <c r="AI5" s="20">
        <f t="shared" si="7"/>
        <v>66218.420299023433</v>
      </c>
      <c r="AJ5" s="20">
        <f t="shared" si="7"/>
        <v>69363.795263227046</v>
      </c>
      <c r="AK5" s="11" t="str">
        <f ca="1">IFERROR(_xlfn.FORMULATEXT(AF5),"")</f>
        <v>=AE5+(AE5*$AE$17)</v>
      </c>
    </row>
    <row r="6" spans="1:37" ht="15" thickBot="1">
      <c r="A6" s="2" t="s">
        <v>66</v>
      </c>
      <c r="B6" s="2">
        <v>6875</v>
      </c>
      <c r="C6" s="15">
        <v>0.05</v>
      </c>
      <c r="D6" s="16">
        <f t="shared" si="0"/>
        <v>343.75</v>
      </c>
      <c r="E6" s="11" t="str">
        <f t="shared" ca="1" si="1"/>
        <v>=B6*C6</v>
      </c>
      <c r="I6" s="2" t="s">
        <v>58</v>
      </c>
      <c r="J6" s="2">
        <v>11275</v>
      </c>
      <c r="K6" s="2">
        <f t="shared" si="5"/>
        <v>563.75</v>
      </c>
      <c r="L6" s="11" t="str">
        <f t="shared" ca="1" si="6"/>
        <v>=J6*$L$1</v>
      </c>
      <c r="Q6" s="2" t="s">
        <v>65</v>
      </c>
      <c r="R6" s="2">
        <v>8250</v>
      </c>
      <c r="S6" s="2">
        <f t="shared" si="3"/>
        <v>412.5</v>
      </c>
      <c r="T6" s="2">
        <f t="shared" si="2"/>
        <v>825</v>
      </c>
      <c r="U6" s="2">
        <f t="shared" si="2"/>
        <v>990</v>
      </c>
      <c r="V6" s="2">
        <f t="shared" si="2"/>
        <v>1237.5</v>
      </c>
      <c r="W6" s="11" t="str">
        <f t="shared" ca="1" si="4"/>
        <v>=$R6*S$2</v>
      </c>
      <c r="AD6" s="2" t="str">
        <f>AD18</f>
        <v>Expense 1</v>
      </c>
      <c r="AE6" s="20">
        <f>AE$5*$AE18</f>
        <v>9350</v>
      </c>
      <c r="AF6" s="20">
        <f t="shared" ref="AF6:AJ6" si="8">AF$5*$AE18</f>
        <v>9794.125</v>
      </c>
      <c r="AG6" s="20">
        <f t="shared" si="8"/>
        <v>10259.3459375</v>
      </c>
      <c r="AH6" s="20">
        <f t="shared" si="8"/>
        <v>10746.664869531251</v>
      </c>
      <c r="AI6" s="20">
        <f t="shared" si="8"/>
        <v>11257.131450833984</v>
      </c>
      <c r="AJ6" s="20">
        <f t="shared" si="8"/>
        <v>11791.845194748599</v>
      </c>
      <c r="AK6" s="11" t="str">
        <f t="shared" ref="AK6:AK13" ca="1" si="9">IFERROR(_xlfn.FORMULATEXT(AF6),"")</f>
        <v>=AF$5*$AE18</v>
      </c>
    </row>
    <row r="7" spans="1:37" ht="15" thickBot="1">
      <c r="A7" s="2" t="s">
        <v>67</v>
      </c>
      <c r="B7" s="2">
        <v>3300</v>
      </c>
      <c r="C7" s="15">
        <v>0.05</v>
      </c>
      <c r="D7" s="16">
        <f t="shared" si="0"/>
        <v>165</v>
      </c>
      <c r="E7" s="11" t="str">
        <f t="shared" ca="1" si="1"/>
        <v>=B7*C7</v>
      </c>
      <c r="I7" s="2" t="s">
        <v>65</v>
      </c>
      <c r="J7" s="2">
        <v>8250</v>
      </c>
      <c r="K7" s="2">
        <f t="shared" si="5"/>
        <v>412.5</v>
      </c>
      <c r="L7" s="11" t="str">
        <f t="shared" ca="1" si="6"/>
        <v>=J7*$L$1</v>
      </c>
      <c r="Q7" s="2" t="s">
        <v>66</v>
      </c>
      <c r="R7" s="2">
        <v>6875</v>
      </c>
      <c r="S7" s="2">
        <f t="shared" si="3"/>
        <v>343.75</v>
      </c>
      <c r="T7" s="2">
        <f t="shared" si="2"/>
        <v>687.5</v>
      </c>
      <c r="U7" s="2">
        <f t="shared" si="2"/>
        <v>825</v>
      </c>
      <c r="V7" s="2">
        <f t="shared" si="2"/>
        <v>1031.25</v>
      </c>
      <c r="W7" s="11" t="str">
        <f t="shared" ca="1" si="4"/>
        <v>=$R7*S$2</v>
      </c>
      <c r="AD7" s="2" t="str">
        <f t="shared" ref="AD7:AD11" si="10">AD19</f>
        <v>Expense 2</v>
      </c>
      <c r="AE7" s="20">
        <f t="shared" ref="AE7:AJ11" si="11">AE$5*$AE19</f>
        <v>11275</v>
      </c>
      <c r="AF7" s="20">
        <f t="shared" si="11"/>
        <v>11810.5625</v>
      </c>
      <c r="AG7" s="20">
        <f t="shared" si="11"/>
        <v>12371.56421875</v>
      </c>
      <c r="AH7" s="20">
        <f t="shared" si="11"/>
        <v>12959.213519140625</v>
      </c>
      <c r="AI7" s="20">
        <f t="shared" si="11"/>
        <v>13574.776161299804</v>
      </c>
      <c r="AJ7" s="20">
        <f t="shared" si="11"/>
        <v>14219.578028961543</v>
      </c>
      <c r="AK7" s="11" t="str">
        <f t="shared" ca="1" si="9"/>
        <v>=AF$5*$AE19</v>
      </c>
    </row>
    <row r="8" spans="1:37" ht="15" thickBot="1">
      <c r="A8" s="2" t="s">
        <v>68</v>
      </c>
      <c r="B8" s="2">
        <v>1375</v>
      </c>
      <c r="C8" s="15">
        <v>0.05</v>
      </c>
      <c r="D8" s="16">
        <f t="shared" si="0"/>
        <v>68.75</v>
      </c>
      <c r="E8" s="11" t="str">
        <f t="shared" ca="1" si="1"/>
        <v>=B8*C8</v>
      </c>
      <c r="I8" s="2" t="s">
        <v>66</v>
      </c>
      <c r="J8" s="2">
        <v>6875</v>
      </c>
      <c r="K8" s="2">
        <f t="shared" si="5"/>
        <v>343.75</v>
      </c>
      <c r="L8" s="11" t="str">
        <f t="shared" ca="1" si="6"/>
        <v>=J8*$L$1</v>
      </c>
      <c r="N8" s="51"/>
      <c r="Q8" s="2" t="s">
        <v>67</v>
      </c>
      <c r="R8" s="2">
        <v>3300</v>
      </c>
      <c r="S8" s="2">
        <f t="shared" si="3"/>
        <v>165</v>
      </c>
      <c r="T8" s="2">
        <f t="shared" si="2"/>
        <v>330</v>
      </c>
      <c r="U8" s="2">
        <f t="shared" si="2"/>
        <v>396</v>
      </c>
      <c r="V8" s="2">
        <f t="shared" si="2"/>
        <v>495</v>
      </c>
      <c r="W8" s="11" t="str">
        <f t="shared" ca="1" si="4"/>
        <v>=$R8*S$2</v>
      </c>
      <c r="AD8" s="2" t="str">
        <f t="shared" si="10"/>
        <v>Expense 3</v>
      </c>
      <c r="AE8" s="20">
        <f t="shared" si="11"/>
        <v>8250</v>
      </c>
      <c r="AF8" s="20">
        <f t="shared" si="11"/>
        <v>8641.875</v>
      </c>
      <c r="AG8" s="20">
        <f t="shared" si="11"/>
        <v>9052.3640624999989</v>
      </c>
      <c r="AH8" s="20">
        <f t="shared" si="11"/>
        <v>9482.3513554687506</v>
      </c>
      <c r="AI8" s="20">
        <f t="shared" si="11"/>
        <v>9932.7630448535147</v>
      </c>
      <c r="AJ8" s="20">
        <f t="shared" si="11"/>
        <v>10404.569289484056</v>
      </c>
      <c r="AK8" s="11" t="str">
        <f t="shared" ca="1" si="9"/>
        <v>=AF$5*$AE20</v>
      </c>
    </row>
    <row r="9" spans="1:37" ht="15" thickBot="1">
      <c r="A9" s="2" t="s">
        <v>69</v>
      </c>
      <c r="B9" s="2">
        <v>40425</v>
      </c>
      <c r="C9" s="15">
        <v>0.05</v>
      </c>
      <c r="D9" s="16">
        <f t="shared" si="0"/>
        <v>2021.25</v>
      </c>
      <c r="E9" s="11" t="str">
        <f t="shared" ca="1" si="1"/>
        <v>=B9*C9</v>
      </c>
      <c r="I9" s="2" t="s">
        <v>67</v>
      </c>
      <c r="J9" s="2">
        <v>3300</v>
      </c>
      <c r="K9" s="2">
        <f t="shared" si="5"/>
        <v>165</v>
      </c>
      <c r="L9" s="11" t="str">
        <f t="shared" ca="1" si="6"/>
        <v>=J9*$L$1</v>
      </c>
      <c r="N9" s="51"/>
      <c r="Q9" s="2" t="s">
        <v>68</v>
      </c>
      <c r="R9" s="2">
        <v>1375</v>
      </c>
      <c r="S9" s="2">
        <f t="shared" si="3"/>
        <v>68.75</v>
      </c>
      <c r="T9" s="2">
        <f t="shared" si="2"/>
        <v>137.5</v>
      </c>
      <c r="U9" s="2">
        <f t="shared" si="2"/>
        <v>165</v>
      </c>
      <c r="V9" s="2">
        <f t="shared" si="2"/>
        <v>206.25</v>
      </c>
      <c r="W9" s="11" t="str">
        <f t="shared" ca="1" si="4"/>
        <v>=$R9*S$2</v>
      </c>
      <c r="AD9" s="2" t="str">
        <f t="shared" si="10"/>
        <v>Expense 4</v>
      </c>
      <c r="AE9" s="20">
        <f t="shared" si="11"/>
        <v>6875</v>
      </c>
      <c r="AF9" s="20">
        <f t="shared" si="11"/>
        <v>7201.5625</v>
      </c>
      <c r="AG9" s="20">
        <f t="shared" si="11"/>
        <v>7543.63671875</v>
      </c>
      <c r="AH9" s="20">
        <f t="shared" si="11"/>
        <v>7901.9594628906252</v>
      </c>
      <c r="AI9" s="20">
        <f t="shared" si="11"/>
        <v>8277.3025373779292</v>
      </c>
      <c r="AJ9" s="20">
        <f t="shared" si="11"/>
        <v>8670.4744079033808</v>
      </c>
      <c r="AK9" s="11" t="str">
        <f t="shared" ca="1" si="9"/>
        <v>=AF$5*$AE21</v>
      </c>
    </row>
    <row r="10" spans="1:37" ht="15" thickBot="1">
      <c r="A10" s="2" t="s">
        <v>70</v>
      </c>
      <c r="B10" s="2">
        <v>14575</v>
      </c>
      <c r="C10" s="15">
        <v>0.05</v>
      </c>
      <c r="D10" s="16">
        <f t="shared" si="0"/>
        <v>728.75</v>
      </c>
      <c r="E10" s="11" t="str">
        <f t="shared" ca="1" si="1"/>
        <v>=B10*C10</v>
      </c>
      <c r="I10" s="2" t="s">
        <v>68</v>
      </c>
      <c r="J10" s="2">
        <v>1375</v>
      </c>
      <c r="K10" s="2">
        <f t="shared" si="5"/>
        <v>68.75</v>
      </c>
      <c r="L10" s="11" t="str">
        <f t="shared" ca="1" si="6"/>
        <v>=J10*$L$1</v>
      </c>
      <c r="Q10" s="2" t="s">
        <v>69</v>
      </c>
      <c r="R10" s="2">
        <v>40425</v>
      </c>
      <c r="S10" s="2">
        <f t="shared" si="3"/>
        <v>2021.25</v>
      </c>
      <c r="T10" s="2">
        <f t="shared" si="2"/>
        <v>4042.5</v>
      </c>
      <c r="U10" s="2">
        <f t="shared" si="2"/>
        <v>4851</v>
      </c>
      <c r="V10" s="2">
        <f t="shared" si="2"/>
        <v>6063.75</v>
      </c>
      <c r="W10" s="11" t="str">
        <f t="shared" ca="1" si="4"/>
        <v>=$R10*S$2</v>
      </c>
      <c r="AD10" s="2" t="str">
        <f t="shared" si="10"/>
        <v>Expense 5</v>
      </c>
      <c r="AE10" s="20">
        <f t="shared" si="11"/>
        <v>3300</v>
      </c>
      <c r="AF10" s="20">
        <f t="shared" si="11"/>
        <v>3456.75</v>
      </c>
      <c r="AG10" s="20">
        <f t="shared" si="11"/>
        <v>3620.9456249999998</v>
      </c>
      <c r="AH10" s="20">
        <f t="shared" si="11"/>
        <v>3792.9405421874999</v>
      </c>
      <c r="AI10" s="20">
        <f t="shared" si="11"/>
        <v>3973.105217941406</v>
      </c>
      <c r="AJ10" s="20">
        <f t="shared" si="11"/>
        <v>4161.8277157936227</v>
      </c>
      <c r="AK10" s="11" t="str">
        <f t="shared" ca="1" si="9"/>
        <v>=AF$5*$AE22</v>
      </c>
    </row>
    <row r="11" spans="1:37" ht="16.149999999999999" thickBot="1">
      <c r="A11" s="64" t="s">
        <v>71</v>
      </c>
      <c r="B11" s="64"/>
      <c r="C11" s="64"/>
      <c r="D11" s="16">
        <f>SUM(D2:D10)</f>
        <v>8071.25</v>
      </c>
      <c r="I11" s="2" t="s">
        <v>69</v>
      </c>
      <c r="J11" s="2">
        <v>40425</v>
      </c>
      <c r="K11" s="2">
        <f t="shared" si="5"/>
        <v>2021.25</v>
      </c>
      <c r="L11" s="11" t="str">
        <f t="shared" ca="1" si="6"/>
        <v>=J11*$L$1</v>
      </c>
      <c r="Q11" s="2" t="s">
        <v>70</v>
      </c>
      <c r="R11" s="2">
        <v>14575</v>
      </c>
      <c r="S11" s="2">
        <f t="shared" si="3"/>
        <v>728.75</v>
      </c>
      <c r="T11" s="2">
        <f t="shared" si="2"/>
        <v>1457.5</v>
      </c>
      <c r="U11" s="2">
        <f t="shared" si="2"/>
        <v>1749</v>
      </c>
      <c r="V11" s="2">
        <f t="shared" si="2"/>
        <v>2186.25</v>
      </c>
      <c r="W11" s="11" t="str">
        <f t="shared" ca="1" si="4"/>
        <v>=$R11*S$2</v>
      </c>
      <c r="AD11" s="2" t="str">
        <f t="shared" si="10"/>
        <v>Expense 6</v>
      </c>
      <c r="AE11" s="20">
        <f t="shared" si="11"/>
        <v>1375</v>
      </c>
      <c r="AF11" s="20">
        <f t="shared" si="11"/>
        <v>1440.3125</v>
      </c>
      <c r="AG11" s="20">
        <f t="shared" si="11"/>
        <v>1508.72734375</v>
      </c>
      <c r="AH11" s="20">
        <f t="shared" si="11"/>
        <v>1580.3918925781252</v>
      </c>
      <c r="AI11" s="20">
        <f t="shared" si="11"/>
        <v>1655.4605074755859</v>
      </c>
      <c r="AJ11" s="20">
        <f t="shared" si="11"/>
        <v>1734.0948815806762</v>
      </c>
      <c r="AK11" s="11" t="str">
        <f t="shared" ca="1" si="9"/>
        <v>=AF$5*$AE23</v>
      </c>
    </row>
    <row r="12" spans="1:37" ht="16.149999999999999" thickBot="1">
      <c r="D12" s="11" t="str">
        <f ca="1">IFERROR(_xlfn.FORMULATEXT(D11),"")</f>
        <v>=SUM(D2:D10)</v>
      </c>
      <c r="I12" s="2" t="s">
        <v>70</v>
      </c>
      <c r="J12" s="2">
        <v>14575</v>
      </c>
      <c r="K12" s="2">
        <f t="shared" si="5"/>
        <v>728.75</v>
      </c>
      <c r="L12" s="11" t="str">
        <f t="shared" ca="1" si="6"/>
        <v>=J12*$L$1</v>
      </c>
      <c r="Q12" s="64" t="s">
        <v>71</v>
      </c>
      <c r="R12" s="64"/>
      <c r="S12" s="22">
        <f>SUM(S3:S11)</f>
        <v>7521.25</v>
      </c>
      <c r="T12" s="22">
        <f t="shared" ref="T12:V12" si="12">SUM(T3:T11)</f>
        <v>15042.5</v>
      </c>
      <c r="U12" s="22">
        <f t="shared" si="12"/>
        <v>18051</v>
      </c>
      <c r="V12" s="22">
        <f t="shared" si="12"/>
        <v>22563.75</v>
      </c>
      <c r="W12" s="52" t="str">
        <f t="shared" ca="1" si="4"/>
        <v>=SUM(S3:S11)</v>
      </c>
      <c r="AD12" s="2" t="s">
        <v>72</v>
      </c>
      <c r="AE12" s="20">
        <f>SUM(AE6:AE11)</f>
        <v>40425</v>
      </c>
      <c r="AF12" s="20">
        <f t="shared" ref="AF12:AJ12" si="13">SUM(AF6:AF11)</f>
        <v>42345.1875</v>
      </c>
      <c r="AG12" s="20">
        <f t="shared" si="13"/>
        <v>44356.583906249994</v>
      </c>
      <c r="AH12" s="20">
        <f t="shared" si="13"/>
        <v>46463.521641796877</v>
      </c>
      <c r="AI12" s="20">
        <f t="shared" si="13"/>
        <v>48670.538919782222</v>
      </c>
      <c r="AJ12" s="20">
        <f t="shared" si="13"/>
        <v>50982.389518471886</v>
      </c>
      <c r="AK12" s="11" t="str">
        <f t="shared" ca="1" si="9"/>
        <v>=SUM(AF6:AF11)</v>
      </c>
    </row>
    <row r="13" spans="1:37" ht="16.149999999999999" thickBot="1">
      <c r="I13" s="64" t="s">
        <v>71</v>
      </c>
      <c r="J13" s="64"/>
      <c r="K13" s="21">
        <f>SUM(K4:K12)</f>
        <v>7521.25</v>
      </c>
      <c r="S13" s="11" t="str">
        <f ca="1">IFERROR(_xlfn.FORMULATEXT(S12),"")</f>
        <v>=SUM(S3:S11)</v>
      </c>
      <c r="T13" s="11" t="str">
        <f t="shared" ref="T13:V13" ca="1" si="14">IFERROR(_xlfn.FORMULATEXT(T12),"")</f>
        <v>=SUM(T3:T11)</v>
      </c>
      <c r="U13" s="11" t="str">
        <f t="shared" ca="1" si="14"/>
        <v>=SUM(U3:U11)</v>
      </c>
      <c r="V13" s="11" t="str">
        <f t="shared" ca="1" si="14"/>
        <v>=SUM(V3:V11)</v>
      </c>
      <c r="AD13" s="2" t="s">
        <v>73</v>
      </c>
      <c r="AE13" s="20">
        <f>AE5-AE12</f>
        <v>14575</v>
      </c>
      <c r="AF13" s="20">
        <f t="shared" ref="AF13:AJ13" si="15">AF5-AF12</f>
        <v>15267.3125</v>
      </c>
      <c r="AG13" s="20">
        <f t="shared" si="15"/>
        <v>15992.509843750006</v>
      </c>
      <c r="AH13" s="20">
        <f t="shared" si="15"/>
        <v>16752.154061328125</v>
      </c>
      <c r="AI13" s="20">
        <f t="shared" si="15"/>
        <v>17547.881379241211</v>
      </c>
      <c r="AJ13" s="20">
        <f t="shared" si="15"/>
        <v>18381.40574475516</v>
      </c>
      <c r="AK13" s="11" t="str">
        <f t="shared" ca="1" si="9"/>
        <v>=AF5-AF12</v>
      </c>
    </row>
    <row r="14" spans="1:37" ht="15" thickBot="1">
      <c r="K14" s="11" t="str">
        <f ca="1">IFERROR(_xlfn.FORMULATEXT(K13),"")</f>
        <v>=SUM(K4:K12)</v>
      </c>
    </row>
    <row r="15" spans="1:37" ht="15.6">
      <c r="AD15" s="63" t="s">
        <v>74</v>
      </c>
      <c r="AE15" s="63"/>
    </row>
    <row r="16" spans="1:37">
      <c r="AD16" s="2" t="s">
        <v>75</v>
      </c>
      <c r="AE16" s="23">
        <v>55000</v>
      </c>
      <c r="AG16" s="24">
        <f>AE16</f>
        <v>55000</v>
      </c>
    </row>
    <row r="17" spans="30:31">
      <c r="AD17" s="2" t="s">
        <v>76</v>
      </c>
      <c r="AE17" s="25">
        <v>4.7500000000000001E-2</v>
      </c>
    </row>
    <row r="18" spans="30:31">
      <c r="AD18" s="2" t="s">
        <v>77</v>
      </c>
      <c r="AE18" s="25">
        <v>0.17</v>
      </c>
    </row>
    <row r="19" spans="30:31">
      <c r="AD19" s="2" t="s">
        <v>78</v>
      </c>
      <c r="AE19" s="25">
        <v>0.20499999999999999</v>
      </c>
    </row>
    <row r="20" spans="30:31">
      <c r="AD20" s="2" t="s">
        <v>79</v>
      </c>
      <c r="AE20" s="25">
        <v>0.15</v>
      </c>
    </row>
    <row r="21" spans="30:31">
      <c r="AD21" s="2" t="s">
        <v>80</v>
      </c>
      <c r="AE21" s="25">
        <v>0.125</v>
      </c>
    </row>
    <row r="22" spans="30:31">
      <c r="AD22" s="2" t="s">
        <v>81</v>
      </c>
      <c r="AE22" s="25">
        <v>0.06</v>
      </c>
    </row>
    <row r="23" spans="30:31">
      <c r="AD23" s="2" t="s">
        <v>82</v>
      </c>
      <c r="AE23" s="25">
        <v>2.5000000000000001E-2</v>
      </c>
    </row>
  </sheetData>
  <mergeCells count="5">
    <mergeCell ref="AD3:AJ3"/>
    <mergeCell ref="A11:C11"/>
    <mergeCell ref="Q12:R12"/>
    <mergeCell ref="I13:J13"/>
    <mergeCell ref="AD15:AE15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1E38-60F3-4931-8E7F-39424A86FF51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FC7A-1427-407F-8BDD-8F3107AA3681}">
  <dimension ref="A1:H12"/>
  <sheetViews>
    <sheetView zoomScale="130" zoomScaleNormal="130" workbookViewId="0"/>
  </sheetViews>
  <sheetFormatPr defaultRowHeight="14.45"/>
  <cols>
    <col min="1" max="8" width="15.5703125" customWidth="1"/>
  </cols>
  <sheetData>
    <row r="1" spans="1:8" ht="22.15">
      <c r="A1" s="56" t="s">
        <v>17</v>
      </c>
      <c r="B1" s="56" t="s">
        <v>39</v>
      </c>
      <c r="C1" s="55" t="s">
        <v>83</v>
      </c>
      <c r="D1" s="55" t="s">
        <v>84</v>
      </c>
      <c r="E1" s="55" t="s">
        <v>85</v>
      </c>
      <c r="F1" s="55" t="s">
        <v>86</v>
      </c>
      <c r="G1" s="55" t="s">
        <v>87</v>
      </c>
      <c r="H1" s="55" t="s">
        <v>88</v>
      </c>
    </row>
    <row r="2" spans="1:8" ht="21" customHeight="1">
      <c r="A2" s="53">
        <v>22</v>
      </c>
      <c r="B2" s="53">
        <v>10</v>
      </c>
      <c r="C2" s="53" t="b">
        <f>A2=10</f>
        <v>0</v>
      </c>
      <c r="D2" s="53" t="b">
        <f>A2&gt;B2</f>
        <v>1</v>
      </c>
      <c r="E2" s="53" t="b">
        <f>A2&gt;=B2</f>
        <v>1</v>
      </c>
      <c r="F2" s="53" t="b">
        <f>A2&lt;B2</f>
        <v>0</v>
      </c>
      <c r="G2" s="53" t="b">
        <f>A2&lt;=B2</f>
        <v>0</v>
      </c>
      <c r="H2" s="53" t="b">
        <f>A2&lt;&gt;B2</f>
        <v>1</v>
      </c>
    </row>
    <row r="3" spans="1:8" ht="21" customHeight="1">
      <c r="A3" s="54">
        <v>25</v>
      </c>
      <c r="B3" s="54">
        <v>10</v>
      </c>
      <c r="C3" s="53" t="b">
        <f t="shared" ref="C3:C11" si="0">A3=B3</f>
        <v>0</v>
      </c>
      <c r="D3" s="53" t="b">
        <f t="shared" ref="D3:D11" si="1">A3&gt;B3</f>
        <v>1</v>
      </c>
      <c r="E3" s="53" t="b">
        <f t="shared" ref="E3:E11" si="2">A3&gt;=B3</f>
        <v>1</v>
      </c>
      <c r="F3" s="53" t="b">
        <f t="shared" ref="F3:F11" si="3">A3&lt;B3</f>
        <v>0</v>
      </c>
      <c r="G3" s="53" t="b">
        <f t="shared" ref="G3:G11" si="4">A3&lt;=B3</f>
        <v>0</v>
      </c>
      <c r="H3" s="53" t="b">
        <f t="shared" ref="H3:H11" si="5">A3&lt;&gt;B3</f>
        <v>1</v>
      </c>
    </row>
    <row r="4" spans="1:8" ht="21" customHeight="1">
      <c r="A4" s="53">
        <v>10</v>
      </c>
      <c r="B4" s="53">
        <v>10</v>
      </c>
      <c r="C4" s="53" t="b">
        <f t="shared" si="0"/>
        <v>1</v>
      </c>
      <c r="D4" s="53" t="b">
        <f t="shared" si="1"/>
        <v>0</v>
      </c>
      <c r="E4" s="53" t="b">
        <f t="shared" si="2"/>
        <v>1</v>
      </c>
      <c r="F4" s="53" t="b">
        <f t="shared" si="3"/>
        <v>0</v>
      </c>
      <c r="G4" s="53" t="b">
        <f t="shared" si="4"/>
        <v>1</v>
      </c>
      <c r="H4" s="53" t="b">
        <f t="shared" si="5"/>
        <v>0</v>
      </c>
    </row>
    <row r="5" spans="1:8" ht="21" customHeight="1">
      <c r="A5" s="54">
        <v>22</v>
      </c>
      <c r="B5" s="54">
        <v>10</v>
      </c>
      <c r="C5" s="53" t="b">
        <f t="shared" si="0"/>
        <v>0</v>
      </c>
      <c r="D5" s="53" t="b">
        <f t="shared" si="1"/>
        <v>1</v>
      </c>
      <c r="E5" s="53" t="b">
        <f t="shared" si="2"/>
        <v>1</v>
      </c>
      <c r="F5" s="53" t="b">
        <f t="shared" si="3"/>
        <v>0</v>
      </c>
      <c r="G5" s="53" t="b">
        <f t="shared" si="4"/>
        <v>0</v>
      </c>
      <c r="H5" s="53" t="b">
        <f t="shared" si="5"/>
        <v>1</v>
      </c>
    </row>
    <row r="6" spans="1:8" ht="21" customHeight="1">
      <c r="A6" s="53">
        <v>43</v>
      </c>
      <c r="B6" s="53">
        <v>10</v>
      </c>
      <c r="C6" s="53" t="b">
        <f t="shared" si="0"/>
        <v>0</v>
      </c>
      <c r="D6" s="53" t="b">
        <f t="shared" si="1"/>
        <v>1</v>
      </c>
      <c r="E6" s="53" t="b">
        <f t="shared" si="2"/>
        <v>1</v>
      </c>
      <c r="F6" s="53" t="b">
        <f t="shared" si="3"/>
        <v>0</v>
      </c>
      <c r="G6" s="53" t="b">
        <f t="shared" si="4"/>
        <v>0</v>
      </c>
      <c r="H6" s="53" t="b">
        <f t="shared" si="5"/>
        <v>1</v>
      </c>
    </row>
    <row r="7" spans="1:8" ht="21" customHeight="1">
      <c r="A7" s="54">
        <v>23</v>
      </c>
      <c r="B7" s="54">
        <v>10</v>
      </c>
      <c r="C7" s="53" t="b">
        <f t="shared" si="0"/>
        <v>0</v>
      </c>
      <c r="D7" s="53" t="b">
        <f t="shared" si="1"/>
        <v>1</v>
      </c>
      <c r="E7" s="53" t="b">
        <f t="shared" si="2"/>
        <v>1</v>
      </c>
      <c r="F7" s="53" t="b">
        <f t="shared" si="3"/>
        <v>0</v>
      </c>
      <c r="G7" s="53" t="b">
        <f t="shared" si="4"/>
        <v>0</v>
      </c>
      <c r="H7" s="53" t="b">
        <f t="shared" si="5"/>
        <v>1</v>
      </c>
    </row>
    <row r="8" spans="1:8" ht="21" customHeight="1">
      <c r="A8" s="53">
        <v>10</v>
      </c>
      <c r="B8" s="53">
        <v>10</v>
      </c>
      <c r="C8" s="53" t="b">
        <f t="shared" si="0"/>
        <v>1</v>
      </c>
      <c r="D8" s="53" t="b">
        <f t="shared" si="1"/>
        <v>0</v>
      </c>
      <c r="E8" s="53" t="b">
        <f t="shared" si="2"/>
        <v>1</v>
      </c>
      <c r="F8" s="53" t="b">
        <f t="shared" si="3"/>
        <v>0</v>
      </c>
      <c r="G8" s="53" t="b">
        <f t="shared" si="4"/>
        <v>1</v>
      </c>
      <c r="H8" s="53" t="b">
        <f t="shared" si="5"/>
        <v>0</v>
      </c>
    </row>
    <row r="9" spans="1:8" ht="21" customHeight="1">
      <c r="A9" s="54">
        <v>2</v>
      </c>
      <c r="B9" s="54">
        <v>10</v>
      </c>
      <c r="C9" s="53" t="b">
        <f t="shared" si="0"/>
        <v>0</v>
      </c>
      <c r="D9" s="53" t="b">
        <f t="shared" si="1"/>
        <v>0</v>
      </c>
      <c r="E9" s="53" t="b">
        <f t="shared" si="2"/>
        <v>0</v>
      </c>
      <c r="F9" s="53" t="b">
        <f t="shared" si="3"/>
        <v>1</v>
      </c>
      <c r="G9" s="53" t="b">
        <f t="shared" si="4"/>
        <v>1</v>
      </c>
      <c r="H9" s="53" t="b">
        <f t="shared" si="5"/>
        <v>1</v>
      </c>
    </row>
    <row r="10" spans="1:8" ht="21" customHeight="1">
      <c r="A10" s="53">
        <v>25</v>
      </c>
      <c r="B10" s="53">
        <v>10</v>
      </c>
      <c r="C10" s="53" t="b">
        <f t="shared" si="0"/>
        <v>0</v>
      </c>
      <c r="D10" s="53" t="b">
        <f t="shared" si="1"/>
        <v>1</v>
      </c>
      <c r="E10" s="53" t="b">
        <f t="shared" si="2"/>
        <v>1</v>
      </c>
      <c r="F10" s="53" t="b">
        <f t="shared" si="3"/>
        <v>0</v>
      </c>
      <c r="G10" s="53" t="b">
        <f t="shared" si="4"/>
        <v>0</v>
      </c>
      <c r="H10" s="53" t="b">
        <f t="shared" si="5"/>
        <v>1</v>
      </c>
    </row>
    <row r="11" spans="1:8" ht="21" customHeight="1" thickBot="1">
      <c r="A11" s="54">
        <v>7</v>
      </c>
      <c r="B11" s="54">
        <v>10</v>
      </c>
      <c r="C11" s="53" t="b">
        <f t="shared" si="0"/>
        <v>0</v>
      </c>
      <c r="D11" s="53" t="b">
        <f t="shared" si="1"/>
        <v>0</v>
      </c>
      <c r="E11" s="53" t="b">
        <f t="shared" si="2"/>
        <v>0</v>
      </c>
      <c r="F11" s="53" t="b">
        <f t="shared" si="3"/>
        <v>1</v>
      </c>
      <c r="G11" s="53" t="b">
        <f t="shared" si="4"/>
        <v>1</v>
      </c>
      <c r="H11" s="53" t="b">
        <f t="shared" si="5"/>
        <v>1</v>
      </c>
    </row>
    <row r="12" spans="1:8" ht="21.6" customHeight="1" thickBot="1">
      <c r="C12" s="11" t="str">
        <f ca="1">IFERROR(_xlfn.FORMULATEXT(C2),"")</f>
        <v>=A2=10</v>
      </c>
      <c r="D12" s="11" t="str">
        <f t="shared" ref="D12:H12" ca="1" si="6">IFERROR(_xlfn.FORMULATEXT(D2),"")</f>
        <v>=A2&gt;B2</v>
      </c>
      <c r="E12" s="11" t="str">
        <f t="shared" ca="1" si="6"/>
        <v>=A2&gt;=B2</v>
      </c>
      <c r="F12" s="11" t="str">
        <f t="shared" ca="1" si="6"/>
        <v>=A2&lt;B2</v>
      </c>
      <c r="G12" s="11" t="str">
        <f t="shared" ca="1" si="6"/>
        <v>=A2&lt;=B2</v>
      </c>
      <c r="H12" s="11" t="str">
        <f t="shared" ca="1" si="6"/>
        <v>=A2&lt;&gt;B2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B86A-CAB9-4A6D-A195-F9CC7BA031D8}">
  <dimension ref="A1:K33"/>
  <sheetViews>
    <sheetView zoomScale="110" zoomScaleNormal="110" workbookViewId="0"/>
  </sheetViews>
  <sheetFormatPr defaultRowHeight="14.45"/>
  <cols>
    <col min="1" max="1" width="11.5703125" bestFit="1" customWidth="1"/>
    <col min="2" max="2" width="13.85546875" bestFit="1" customWidth="1"/>
    <col min="3" max="3" width="8.5703125" customWidth="1"/>
    <col min="4" max="4" width="14.28515625" bestFit="1" customWidth="1"/>
    <col min="5" max="5" width="19.140625" bestFit="1" customWidth="1"/>
    <col min="6" max="7" width="2.85546875" customWidth="1"/>
    <col min="8" max="8" width="65.5703125" bestFit="1" customWidth="1"/>
    <col min="9" max="9" width="21.7109375" customWidth="1"/>
    <col min="10" max="10" width="2.42578125" customWidth="1"/>
    <col min="11" max="11" width="23" customWidth="1"/>
  </cols>
  <sheetData>
    <row r="1" spans="1:11" ht="23.45" customHeight="1" thickBo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89</v>
      </c>
    </row>
    <row r="2" spans="1:11" ht="18.600000000000001" thickBot="1">
      <c r="A2" s="28" t="s">
        <v>4</v>
      </c>
      <c r="B2" s="26" t="s">
        <v>5</v>
      </c>
      <c r="C2" s="26" t="s">
        <v>6</v>
      </c>
      <c r="D2" s="26">
        <v>37</v>
      </c>
      <c r="E2" s="26">
        <v>960</v>
      </c>
      <c r="H2" s="30" t="s">
        <v>90</v>
      </c>
      <c r="I2" s="31">
        <f>COUNT(D2:D33)</f>
        <v>28</v>
      </c>
      <c r="K2" s="11" t="str">
        <f ca="1">IFERROR(_xlfn.FORMULATEXT(I2),"")</f>
        <v>=COUNT(D2:D33)</v>
      </c>
    </row>
    <row r="3" spans="1:11" ht="18.600000000000001" thickBot="1">
      <c r="A3" s="27" t="s">
        <v>7</v>
      </c>
      <c r="B3" s="27" t="s">
        <v>5</v>
      </c>
      <c r="C3" s="27" t="s">
        <v>8</v>
      </c>
      <c r="D3" s="27">
        <v>36</v>
      </c>
      <c r="E3" s="27">
        <v>576</v>
      </c>
      <c r="H3" s="30" t="s">
        <v>91</v>
      </c>
      <c r="I3" s="31">
        <f>COUNT(E2:E33)</f>
        <v>29</v>
      </c>
      <c r="K3" s="11" t="str">
        <f t="shared" ref="K3:K13" ca="1" si="0">IFERROR(_xlfn.FORMULATEXT(I3),"")</f>
        <v>=COUNT(E2:E33)</v>
      </c>
    </row>
    <row r="4" spans="1:11" ht="18.600000000000001" thickBot="1">
      <c r="A4" s="26" t="s">
        <v>9</v>
      </c>
      <c r="B4" s="26" t="s">
        <v>10</v>
      </c>
      <c r="C4" s="26" t="s">
        <v>6</v>
      </c>
      <c r="D4" s="26">
        <v>36</v>
      </c>
      <c r="E4" s="26">
        <v>432</v>
      </c>
      <c r="H4" s="30" t="s">
        <v>92</v>
      </c>
      <c r="I4" s="31">
        <f>COUNTBLANK(E2:E33)</f>
        <v>3</v>
      </c>
      <c r="K4" s="11" t="str">
        <f t="shared" ca="1" si="0"/>
        <v>=COUNTBLANK(E2:E33)</v>
      </c>
    </row>
    <row r="5" spans="1:11" ht="18.600000000000001" thickBot="1">
      <c r="A5" s="27" t="s">
        <v>11</v>
      </c>
      <c r="B5" s="27" t="s">
        <v>10</v>
      </c>
      <c r="C5" s="27" t="s">
        <v>12</v>
      </c>
      <c r="D5" s="27">
        <v>41</v>
      </c>
      <c r="E5" s="27">
        <v>312</v>
      </c>
      <c r="H5" s="30" t="s">
        <v>93</v>
      </c>
      <c r="I5" s="31">
        <f>COUNTA(A2:A33)</f>
        <v>32</v>
      </c>
      <c r="K5" s="11" t="str">
        <f t="shared" ca="1" si="0"/>
        <v>=COUNTA(A2:A33)</v>
      </c>
    </row>
    <row r="6" spans="1:11" ht="18.600000000000001" thickBot="1">
      <c r="A6" s="26" t="s">
        <v>94</v>
      </c>
      <c r="B6" s="26" t="s">
        <v>5</v>
      </c>
      <c r="C6" s="26" t="s">
        <v>8</v>
      </c>
      <c r="D6" s="26" t="s">
        <v>95</v>
      </c>
      <c r="E6" s="26"/>
      <c r="H6" s="30" t="s">
        <v>96</v>
      </c>
      <c r="I6" s="31">
        <f>ROUND(AVERAGE(E2:E33),0)</f>
        <v>657</v>
      </c>
      <c r="K6" s="11" t="str">
        <f t="shared" ca="1" si="0"/>
        <v>=ROUND(AVERAGE(E2:E33),0)</v>
      </c>
    </row>
    <row r="7" spans="1:11" ht="18.600000000000001" thickBot="1">
      <c r="A7" s="27" t="s">
        <v>97</v>
      </c>
      <c r="B7" s="27" t="s">
        <v>98</v>
      </c>
      <c r="C7" s="27" t="s">
        <v>12</v>
      </c>
      <c r="D7" s="27">
        <v>37</v>
      </c>
      <c r="E7" s="27">
        <v>552</v>
      </c>
      <c r="H7" s="30" t="s">
        <v>99</v>
      </c>
      <c r="I7" s="31">
        <f>MEDIAN(E2:E33)</f>
        <v>576</v>
      </c>
      <c r="K7" s="11" t="str">
        <f t="shared" ca="1" si="0"/>
        <v>=MEDIAN(E2:E33)</v>
      </c>
    </row>
    <row r="8" spans="1:11" ht="18.600000000000001" thickBot="1">
      <c r="A8" s="26" t="s">
        <v>100</v>
      </c>
      <c r="B8" s="26" t="s">
        <v>101</v>
      </c>
      <c r="C8" s="26" t="s">
        <v>102</v>
      </c>
      <c r="D8" s="26">
        <v>36</v>
      </c>
      <c r="E8" s="26">
        <v>576</v>
      </c>
      <c r="H8" s="30" t="s">
        <v>103</v>
      </c>
      <c r="I8" s="31">
        <f>MODE(D2:D33)</f>
        <v>36</v>
      </c>
      <c r="J8" cm="1">
        <f t="array" ref="J8">_xlfn.MODE.MULT(D2:D33)</f>
        <v>36</v>
      </c>
      <c r="K8" s="11" t="str">
        <f t="shared" ca="1" si="0"/>
        <v>=MODE(D2:D33)</v>
      </c>
    </row>
    <row r="9" spans="1:11" ht="18.600000000000001" thickBot="1">
      <c r="A9" s="27" t="s">
        <v>104</v>
      </c>
      <c r="B9" s="27" t="s">
        <v>105</v>
      </c>
      <c r="C9" s="27" t="s">
        <v>6</v>
      </c>
      <c r="D9" s="27">
        <v>60</v>
      </c>
      <c r="E9" s="27">
        <v>480</v>
      </c>
      <c r="H9" s="30" t="s">
        <v>106</v>
      </c>
      <c r="I9" s="31">
        <f>RANK(E2,E2:E33,1)</f>
        <v>24</v>
      </c>
      <c r="K9" s="11" t="str">
        <f t="shared" ca="1" si="0"/>
        <v>=RANK(E2,E2:E33,1)</v>
      </c>
    </row>
    <row r="10" spans="1:11" ht="18.600000000000001" thickBot="1">
      <c r="A10" s="26" t="s">
        <v>107</v>
      </c>
      <c r="B10" s="26" t="s">
        <v>101</v>
      </c>
      <c r="C10" s="26" t="s">
        <v>108</v>
      </c>
      <c r="D10" s="26"/>
      <c r="E10" s="26">
        <v>864</v>
      </c>
      <c r="H10" s="30" t="s">
        <v>109</v>
      </c>
      <c r="I10" s="31">
        <f>MAX(D2:D33)</f>
        <v>60</v>
      </c>
      <c r="K10" s="11" t="str">
        <f t="shared" ca="1" si="0"/>
        <v>=MAX(D2:D33)</v>
      </c>
    </row>
    <row r="11" spans="1:11" ht="18.600000000000001" thickBot="1">
      <c r="A11" s="27" t="s">
        <v>110</v>
      </c>
      <c r="B11" s="27" t="s">
        <v>101</v>
      </c>
      <c r="C11" s="27" t="s">
        <v>8</v>
      </c>
      <c r="D11" s="27">
        <v>47</v>
      </c>
      <c r="E11" s="27">
        <v>576</v>
      </c>
      <c r="H11" s="30" t="s">
        <v>111</v>
      </c>
      <c r="I11" s="31">
        <f>MIN(E2:E33)</f>
        <v>280</v>
      </c>
      <c r="K11" s="11" t="str">
        <f t="shared" ca="1" si="0"/>
        <v>=MIN(E2:E33)</v>
      </c>
    </row>
    <row r="12" spans="1:11" ht="18.600000000000001" thickBot="1">
      <c r="A12" s="26" t="s">
        <v>112</v>
      </c>
      <c r="B12" s="26" t="s">
        <v>105</v>
      </c>
      <c r="C12" s="26" t="s">
        <v>8</v>
      </c>
      <c r="D12" s="26">
        <v>38</v>
      </c>
      <c r="E12" s="26">
        <v>768</v>
      </c>
      <c r="H12" s="30" t="s">
        <v>113</v>
      </c>
      <c r="I12" s="31">
        <f>LARGE(D2:D33,2)</f>
        <v>50</v>
      </c>
      <c r="K12" s="11" t="str">
        <f t="shared" ca="1" si="0"/>
        <v>=LARGE(D2:D33,2)</v>
      </c>
    </row>
    <row r="13" spans="1:11" ht="18.600000000000001" thickBot="1">
      <c r="A13" s="27" t="s">
        <v>114</v>
      </c>
      <c r="B13" s="27" t="s">
        <v>10</v>
      </c>
      <c r="C13" s="27" t="s">
        <v>12</v>
      </c>
      <c r="D13" s="27">
        <v>50</v>
      </c>
      <c r="E13" s="27">
        <v>1000</v>
      </c>
      <c r="H13" s="30" t="s">
        <v>115</v>
      </c>
      <c r="I13" s="31">
        <f>SMALL(E2:E33,3)</f>
        <v>312</v>
      </c>
      <c r="K13" s="11" t="str">
        <f t="shared" ca="1" si="0"/>
        <v>=SMALL(E2:E33,3)</v>
      </c>
    </row>
    <row r="14" spans="1:11">
      <c r="A14" s="26" t="s">
        <v>116</v>
      </c>
      <c r="B14" s="26" t="s">
        <v>5</v>
      </c>
      <c r="C14" s="26" t="s">
        <v>12</v>
      </c>
      <c r="D14" s="26">
        <v>41</v>
      </c>
      <c r="E14" s="26">
        <v>336</v>
      </c>
    </row>
    <row r="15" spans="1:11">
      <c r="A15" s="27" t="s">
        <v>117</v>
      </c>
      <c r="B15" s="27" t="s">
        <v>5</v>
      </c>
      <c r="C15" s="27" t="s">
        <v>8</v>
      </c>
      <c r="D15" s="27">
        <v>35</v>
      </c>
      <c r="E15" s="27">
        <v>1080</v>
      </c>
    </row>
    <row r="16" spans="1:11">
      <c r="A16" s="26" t="s">
        <v>118</v>
      </c>
      <c r="B16" s="26" t="s">
        <v>105</v>
      </c>
      <c r="C16" s="26" t="s">
        <v>108</v>
      </c>
      <c r="D16" s="26">
        <v>41</v>
      </c>
      <c r="E16" s="26">
        <v>792</v>
      </c>
    </row>
    <row r="17" spans="1:5">
      <c r="A17" s="27" t="s">
        <v>119</v>
      </c>
      <c r="B17" s="27" t="s">
        <v>120</v>
      </c>
      <c r="C17" s="27" t="s">
        <v>121</v>
      </c>
      <c r="D17" s="27">
        <v>37</v>
      </c>
      <c r="E17" s="27">
        <v>408</v>
      </c>
    </row>
    <row r="18" spans="1:5">
      <c r="A18" s="26" t="s">
        <v>122</v>
      </c>
      <c r="B18" s="26" t="s">
        <v>98</v>
      </c>
      <c r="C18" s="26" t="s">
        <v>102</v>
      </c>
      <c r="D18" s="26">
        <v>44</v>
      </c>
      <c r="E18" s="26">
        <v>504</v>
      </c>
    </row>
    <row r="19" spans="1:5">
      <c r="A19" s="27" t="s">
        <v>123</v>
      </c>
      <c r="B19" s="27" t="s">
        <v>124</v>
      </c>
      <c r="C19" s="27" t="s">
        <v>121</v>
      </c>
      <c r="D19" s="27">
        <v>36</v>
      </c>
      <c r="E19" s="27">
        <v>288</v>
      </c>
    </row>
    <row r="20" spans="1:5">
      <c r="A20" s="26" t="s">
        <v>125</v>
      </c>
      <c r="B20" s="26" t="s">
        <v>120</v>
      </c>
      <c r="C20" s="26" t="s">
        <v>6</v>
      </c>
      <c r="D20" s="26">
        <v>45</v>
      </c>
      <c r="E20" s="26">
        <v>720</v>
      </c>
    </row>
    <row r="21" spans="1:5">
      <c r="A21" s="27" t="s">
        <v>126</v>
      </c>
      <c r="B21" s="27" t="s">
        <v>5</v>
      </c>
      <c r="C21" s="27" t="s">
        <v>8</v>
      </c>
      <c r="D21" s="27">
        <v>40</v>
      </c>
      <c r="E21" s="27">
        <v>576</v>
      </c>
    </row>
    <row r="22" spans="1:5">
      <c r="A22" s="26" t="s">
        <v>127</v>
      </c>
      <c r="B22" s="26" t="s">
        <v>5</v>
      </c>
      <c r="C22" s="26" t="s">
        <v>102</v>
      </c>
      <c r="D22" s="26">
        <v>43</v>
      </c>
      <c r="E22" s="26">
        <v>1008</v>
      </c>
    </row>
    <row r="23" spans="1:5">
      <c r="A23" s="27" t="s">
        <v>128</v>
      </c>
      <c r="B23" s="27" t="s">
        <v>124</v>
      </c>
      <c r="C23" s="27" t="s">
        <v>8</v>
      </c>
      <c r="D23" s="27">
        <v>35</v>
      </c>
      <c r="E23" s="27">
        <v>840</v>
      </c>
    </row>
    <row r="24" spans="1:5">
      <c r="A24" s="26" t="s">
        <v>129</v>
      </c>
      <c r="B24" s="26" t="s">
        <v>124</v>
      </c>
      <c r="C24" s="26" t="s">
        <v>102</v>
      </c>
      <c r="D24" s="26" t="s">
        <v>95</v>
      </c>
      <c r="E24" s="26"/>
    </row>
    <row r="25" spans="1:5">
      <c r="A25" s="27" t="s">
        <v>130</v>
      </c>
      <c r="B25" s="27" t="s">
        <v>120</v>
      </c>
      <c r="C25" s="27" t="s">
        <v>6</v>
      </c>
      <c r="D25" s="27">
        <v>40</v>
      </c>
      <c r="E25" s="27">
        <v>280</v>
      </c>
    </row>
    <row r="26" spans="1:5">
      <c r="A26" s="26" t="s">
        <v>131</v>
      </c>
      <c r="B26" s="26" t="s">
        <v>5</v>
      </c>
      <c r="C26" s="26" t="s">
        <v>6</v>
      </c>
      <c r="D26" s="26">
        <v>41</v>
      </c>
      <c r="E26" s="26">
        <v>1176</v>
      </c>
    </row>
    <row r="27" spans="1:5">
      <c r="A27" s="27" t="s">
        <v>132</v>
      </c>
      <c r="B27" s="27" t="s">
        <v>120</v>
      </c>
      <c r="C27" s="27" t="s">
        <v>6</v>
      </c>
      <c r="D27" s="27">
        <v>38</v>
      </c>
      <c r="E27" s="27">
        <v>696</v>
      </c>
    </row>
    <row r="28" spans="1:5">
      <c r="A28" s="26" t="s">
        <v>133</v>
      </c>
      <c r="B28" s="26" t="s">
        <v>98</v>
      </c>
      <c r="C28" s="26" t="s">
        <v>108</v>
      </c>
      <c r="D28" s="26">
        <v>45</v>
      </c>
      <c r="E28" s="26">
        <v>600</v>
      </c>
    </row>
    <row r="29" spans="1:5">
      <c r="A29" s="27" t="s">
        <v>134</v>
      </c>
      <c r="B29" s="27" t="s">
        <v>5</v>
      </c>
      <c r="C29" s="27" t="s">
        <v>6</v>
      </c>
      <c r="D29" s="27">
        <v>37</v>
      </c>
      <c r="E29" s="27">
        <v>1080</v>
      </c>
    </row>
    <row r="30" spans="1:5">
      <c r="A30" s="26" t="s">
        <v>135</v>
      </c>
      <c r="B30" s="26" t="s">
        <v>98</v>
      </c>
      <c r="C30" s="26" t="s">
        <v>8</v>
      </c>
      <c r="D30" s="26" t="s">
        <v>95</v>
      </c>
      <c r="E30" s="26"/>
    </row>
    <row r="31" spans="1:5">
      <c r="A31" s="27" t="s">
        <v>136</v>
      </c>
      <c r="B31" s="27" t="s">
        <v>124</v>
      </c>
      <c r="C31" s="27" t="s">
        <v>12</v>
      </c>
      <c r="D31" s="27">
        <v>36</v>
      </c>
      <c r="E31" s="27">
        <v>720</v>
      </c>
    </row>
    <row r="32" spans="1:5">
      <c r="A32" s="26" t="s">
        <v>137</v>
      </c>
      <c r="B32" s="26" t="s">
        <v>124</v>
      </c>
      <c r="C32" s="26" t="s">
        <v>102</v>
      </c>
      <c r="D32" s="26">
        <v>36</v>
      </c>
      <c r="E32" s="26">
        <v>480</v>
      </c>
    </row>
    <row r="33" spans="1:5">
      <c r="A33" s="27" t="s">
        <v>138</v>
      </c>
      <c r="B33" s="27" t="s">
        <v>10</v>
      </c>
      <c r="C33" s="27" t="s">
        <v>108</v>
      </c>
      <c r="D33" s="27">
        <v>41</v>
      </c>
      <c r="E33" s="27">
        <v>384</v>
      </c>
    </row>
  </sheetData>
  <autoFilter ref="A1:E33" xr:uid="{29F6B86A-CAB9-4A6D-A195-F9CC7BA031D8}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35EB-9BC1-4082-9452-1503C5AAAE45}">
  <dimension ref="A1:AK79"/>
  <sheetViews>
    <sheetView tabSelected="1" zoomScale="120" zoomScaleNormal="120" workbookViewId="0"/>
  </sheetViews>
  <sheetFormatPr defaultRowHeight="14.45"/>
  <cols>
    <col min="1" max="1" width="14.5703125" bestFit="1" customWidth="1"/>
    <col min="2" max="2" width="10.7109375" bestFit="1" customWidth="1"/>
    <col min="3" max="3" width="9.28515625" bestFit="1" customWidth="1"/>
    <col min="4" max="4" width="6.7109375" bestFit="1" customWidth="1"/>
    <col min="5" max="5" width="15.85546875" bestFit="1" customWidth="1"/>
    <col min="6" max="6" width="19.28515625" bestFit="1" customWidth="1"/>
    <col min="7" max="7" width="16.85546875" customWidth="1"/>
    <col min="8" max="8" width="15.28515625" customWidth="1"/>
    <col min="9" max="9" width="15.7109375" customWidth="1"/>
    <col min="10" max="10" width="31.140625" customWidth="1"/>
    <col min="11" max="11" width="14.7109375" customWidth="1"/>
    <col min="12" max="12" width="43.28515625" customWidth="1"/>
    <col min="13" max="13" width="14.7109375" customWidth="1"/>
    <col min="14" max="14" width="43.28515625" customWidth="1"/>
    <col min="15" max="15" width="11.28515625" customWidth="1"/>
    <col min="16" max="16" width="43.28515625" customWidth="1"/>
    <col min="17" max="17" width="10.42578125" customWidth="1"/>
    <col min="18" max="18" width="43.28515625" customWidth="1"/>
    <col min="19" max="19" width="12.7109375" customWidth="1"/>
    <col min="20" max="20" width="43.28515625" customWidth="1"/>
    <col min="21" max="21" width="17.28515625" customWidth="1"/>
    <col min="22" max="22" width="43.28515625" customWidth="1"/>
    <col min="23" max="23" width="13.7109375" customWidth="1"/>
    <col min="24" max="24" width="81.7109375" customWidth="1"/>
    <col min="25" max="25" width="13.28515625" customWidth="1"/>
    <col min="26" max="26" width="97.42578125" bestFit="1" customWidth="1"/>
    <col min="28" max="29" width="10.42578125" bestFit="1" customWidth="1"/>
    <col min="30" max="30" width="10.7109375" bestFit="1" customWidth="1"/>
  </cols>
  <sheetData>
    <row r="1" spans="1:37" ht="16.149999999999999" thickBot="1">
      <c r="A1" s="32" t="s">
        <v>139</v>
      </c>
      <c r="B1" s="32" t="s">
        <v>140</v>
      </c>
      <c r="C1" s="32" t="s">
        <v>141</v>
      </c>
      <c r="D1" s="32" t="s">
        <v>142</v>
      </c>
      <c r="E1" s="32" t="s">
        <v>143</v>
      </c>
      <c r="F1" s="32" t="s">
        <v>144</v>
      </c>
      <c r="G1" s="32" t="s">
        <v>145</v>
      </c>
      <c r="H1" s="49" t="s">
        <v>19</v>
      </c>
      <c r="I1" s="32" t="s">
        <v>146</v>
      </c>
      <c r="J1" s="49" t="s">
        <v>19</v>
      </c>
      <c r="K1" s="32" t="s">
        <v>147</v>
      </c>
      <c r="L1" s="49" t="s">
        <v>19</v>
      </c>
      <c r="M1" s="32" t="s">
        <v>148</v>
      </c>
      <c r="N1" s="49" t="s">
        <v>19</v>
      </c>
      <c r="O1" s="32" t="s">
        <v>149</v>
      </c>
      <c r="P1" s="49" t="s">
        <v>19</v>
      </c>
      <c r="Q1" s="32" t="s">
        <v>150</v>
      </c>
      <c r="R1" s="49" t="s">
        <v>19</v>
      </c>
      <c r="S1" s="32" t="s">
        <v>151</v>
      </c>
      <c r="T1" s="49" t="s">
        <v>19</v>
      </c>
      <c r="U1" s="32" t="s">
        <v>152</v>
      </c>
      <c r="V1" s="49" t="s">
        <v>19</v>
      </c>
      <c r="W1" s="32" t="s">
        <v>153</v>
      </c>
      <c r="X1" s="49" t="s">
        <v>19</v>
      </c>
      <c r="Y1" s="32" t="s">
        <v>154</v>
      </c>
      <c r="Z1" s="49" t="s">
        <v>19</v>
      </c>
    </row>
    <row r="2" spans="1:37" ht="16.149999999999999" thickBot="1">
      <c r="A2" s="33" t="s">
        <v>155</v>
      </c>
      <c r="B2" s="34">
        <v>44622</v>
      </c>
      <c r="C2" s="33" t="s">
        <v>156</v>
      </c>
      <c r="D2" s="33" t="s">
        <v>157</v>
      </c>
      <c r="E2" s="33" t="s">
        <v>158</v>
      </c>
      <c r="F2" s="45">
        <v>263293</v>
      </c>
      <c r="G2" s="47" t="str">
        <f>IF(F2&gt;200000,"Commission","No-Commission")</f>
        <v>Commission</v>
      </c>
      <c r="H2" s="50" t="str">
        <f ca="1">IFERROR(_xlfn.FORMULATEXT(G2),"")</f>
        <v>=IF(F2&gt;200000,"Commission","No-Commission")</v>
      </c>
      <c r="I2" s="48">
        <f>IF(F2&gt;200000,10%*F2,0%)</f>
        <v>26329.300000000003</v>
      </c>
      <c r="J2" s="50" t="str">
        <f ca="1">IFERROR(_xlfn.FORMULATEXT(I2),"")</f>
        <v>=IF(F2&gt;200000,10%*F2,0%)</v>
      </c>
      <c r="K2" s="35">
        <f>IF(AND(D2="Laptop",E2="Apple"),10%,"-")</f>
        <v>0.1</v>
      </c>
      <c r="L2" s="50" t="str">
        <f ca="1">IFERROR(_xlfn.FORMULATEXT(K2),"")</f>
        <v>=IF(AND(D2="Laptop",E2="Apple"),10%,"-")</v>
      </c>
      <c r="M2" s="45" t="str">
        <f>IF(OR(C2="Delhi",D2="Laptop"),"Commission","No-Commission")</f>
        <v>Commission</v>
      </c>
      <c r="N2" s="50" t="str">
        <f ca="1">IFERROR(_xlfn.FORMULATEXT(M2),"")</f>
        <v>=IF(OR(C2="Delhi",D2="Laptop"),"Commission","No-Commission")</v>
      </c>
      <c r="O2" s="45">
        <f>IF(AND(D2="laptop",E2="apple"),F2*10%,0)</f>
        <v>26329.300000000003</v>
      </c>
      <c r="P2" s="50" t="str">
        <f ca="1">IFERROR(_xlfn.FORMULATEXT(O2),"")</f>
        <v>=IF(AND(D2="laptop",E2="apple"),F2*10%,0)</v>
      </c>
      <c r="Q2" s="45">
        <f>IF(OR(D2="laptop",C2="delhi"),F2*10%,0)</f>
        <v>26329.300000000003</v>
      </c>
      <c r="R2" s="50" t="str">
        <f ca="1">IFERROR(_xlfn.FORMULATEXT(Q2),"")</f>
        <v>=IF(OR(D2="laptop",C2="delhi"),F2*10%,0)</v>
      </c>
      <c r="S2" s="45">
        <f>IF(AND(C2="Delhi",OR(E2="samsung",E2="Apple")),F2*10%,0)</f>
        <v>26329.300000000003</v>
      </c>
      <c r="T2" s="50" t="str">
        <f ca="1">IFERROR(_xlfn.FORMULATEXT(S2),"")</f>
        <v>=IF(AND(C2="Delhi",OR(E2="samsung",E2="Apple")),F2*10%,0)</v>
      </c>
      <c r="U2" s="57">
        <f>IFERROR(ROUND(IF(C2="Mumbai","-",F2*5%),0),"-")</f>
        <v>13165</v>
      </c>
      <c r="V2" s="50" t="str">
        <f ca="1">IFERROR(_xlfn.FORMULATEXT(U2),"")</f>
        <v>=IFERROR(ROUND(IF(C2="Mumbai","-",F2*5%),0),"-")</v>
      </c>
      <c r="W2" s="35">
        <f>IF(F2&lt;=200000,3%,IF(F2&lt;=300000,4%,IF(F2&lt;=400000,5%,IF(F2&lt;=500000,6%,10%))))</f>
        <v>0.04</v>
      </c>
      <c r="X2" s="50" t="str">
        <f ca="1">IFERROR(_xlfn.FORMULATEXT(W2),"")</f>
        <v>=IF(F2&lt;=200000,3%,IF(F2&lt;=300000,4%,IF(F2&lt;=400000,5%,IF(F2&lt;=500000,6%,10%))))</v>
      </c>
      <c r="Y2" s="35" cm="1">
        <f t="array" ref="Y2">_xlfn.IFS(F2&lt;$AB$14,$AD$13,F2&lt;$AB$15,$AD$14,F2&lt;$AB$16,$AD$15,F2&lt;$AB$17,$AD$16,F2&gt;=$AB$17,$AD$17)</f>
        <v>0.04</v>
      </c>
      <c r="Z2" s="50" t="str">
        <f ca="1">IFERROR(_xlfn.FORMULATEXT(Y2),"")</f>
        <v>=IFS(F2&lt;$AB$14,$AD$13,F2&lt;$AB$15,$AD$14,F2&lt;$AB$16,$AD$15,F2&lt;$AB$17,$AD$16,F2&gt;=$AB$17,$AD$17)</v>
      </c>
      <c r="AB2" s="36" t="s">
        <v>159</v>
      </c>
      <c r="AC2" s="37"/>
      <c r="AD2" s="37"/>
      <c r="AE2" s="37"/>
      <c r="AF2" s="37"/>
      <c r="AG2" s="37"/>
      <c r="AH2" s="37"/>
      <c r="AI2" s="37"/>
      <c r="AJ2" s="37"/>
      <c r="AK2" s="38"/>
    </row>
    <row r="3" spans="1:37" ht="16.149999999999999" thickBot="1">
      <c r="A3" s="33" t="s">
        <v>160</v>
      </c>
      <c r="B3" s="34">
        <v>44375</v>
      </c>
      <c r="C3" s="33" t="s">
        <v>161</v>
      </c>
      <c r="D3" s="33" t="s">
        <v>162</v>
      </c>
      <c r="E3" s="33" t="s">
        <v>163</v>
      </c>
      <c r="F3" s="45">
        <v>186073</v>
      </c>
      <c r="G3" s="47" t="str">
        <f t="shared" ref="G3:G60" si="0">IF(F3&gt;200000,"Commission","No-Commission")</f>
        <v>No-Commission</v>
      </c>
      <c r="H3" s="50" t="str">
        <f t="shared" ref="H3:J60" ca="1" si="1">IFERROR(_xlfn.FORMULATEXT(G3),"")</f>
        <v>=IF(F3&gt;200000,"Commission","No-Commission")</v>
      </c>
      <c r="I3" s="48">
        <f t="shared" ref="I3:I60" si="2">IF(F3&gt;200000,10%*F3,0%)</f>
        <v>0</v>
      </c>
      <c r="J3" s="50" t="str">
        <f t="shared" ca="1" si="1"/>
        <v>=IF(F3&gt;200000,10%*F3,0%)</v>
      </c>
      <c r="K3" s="35" t="str">
        <f t="shared" ref="K3:K60" si="3">IF(AND(D3="Laptop",E3="Apple"),10%,"-")</f>
        <v>-</v>
      </c>
      <c r="L3" s="50" t="str">
        <f t="shared" ref="L3:N3" ca="1" si="4">IFERROR(_xlfn.FORMULATEXT(K3),"")</f>
        <v>=IF(AND(D3="Laptop",E3="Apple"),10%,"-")</v>
      </c>
      <c r="M3" s="45" t="str">
        <f t="shared" ref="M3:M60" si="5">IF(OR(C3="Delhi",D3="Laptop"),"Commission","No-Commission")</f>
        <v>No-Commission</v>
      </c>
      <c r="N3" s="50" t="str">
        <f t="shared" ca="1" si="4"/>
        <v>=IF(OR(C3="Delhi",D3="Laptop"),"Commission","No-Commission")</v>
      </c>
      <c r="O3" s="45">
        <f t="shared" ref="O3:O60" si="6">IF(AND(D3="laptop",E3="apple"),F3*10%,0)</f>
        <v>0</v>
      </c>
      <c r="P3" s="50" t="str">
        <f t="shared" ref="P3:R3" ca="1" si="7">IFERROR(_xlfn.FORMULATEXT(O3),"")</f>
        <v>=IF(AND(D3="laptop",E3="apple"),F3*10%,0)</v>
      </c>
      <c r="Q3" s="45">
        <f t="shared" ref="Q3:Q60" si="8">IF(OR(D3="laptop",C3="delhi"),F3*10%,0)</f>
        <v>0</v>
      </c>
      <c r="R3" s="50" t="str">
        <f t="shared" ca="1" si="7"/>
        <v>=IF(OR(D3="laptop",C3="delhi"),F3*10%,0)</v>
      </c>
      <c r="S3" s="45">
        <f t="shared" ref="S3:S60" si="9">IF(AND(D3="laptop",OR(E3="samsung",E3="Apple")),F3*10%,0)</f>
        <v>0</v>
      </c>
      <c r="T3" s="50" t="str">
        <f t="shared" ref="T3:V3" ca="1" si="10">IFERROR(_xlfn.FORMULATEXT(S3),"")</f>
        <v>=IF(AND(D3="laptop",OR(E3="samsung",E3="Apple")),F3*10%,0)</v>
      </c>
      <c r="U3" s="57" t="str">
        <f t="shared" ref="U3:U60" si="11">IFERROR(ROUND(IF(C3="Mumbai","-",F3*5%),0),"-")</f>
        <v>-</v>
      </c>
      <c r="V3" s="50" t="str">
        <f t="shared" ca="1" si="10"/>
        <v>=IFERROR(ROUND(IF(C3="Mumbai","-",F3*5%),0),"-")</v>
      </c>
      <c r="W3" s="35">
        <f t="shared" ref="W3:W60" si="12">IF(F3&lt;=200000,3%,IF(F3&lt;=300000,4%,IF(F3&lt;=400000,5%,IF(F3&lt;=500000,6%,10%))))</f>
        <v>0.03</v>
      </c>
      <c r="X3" s="50" t="str">
        <f t="shared" ref="X3:Z3" ca="1" si="13">IFERROR(_xlfn.FORMULATEXT(W3),"")</f>
        <v>=IF(F3&lt;=200000,3%,IF(F3&lt;=300000,4%,IF(F3&lt;=400000,5%,IF(F3&lt;=500000,6%,10%))))</v>
      </c>
      <c r="Y3" s="35" cm="1">
        <f t="array" ref="Y3">_xlfn.IFS(F3&lt;$AB$14,$AD$13,F3&lt;$AB$15,$AD$14,F3&lt;$AB$16,$AD$15,F3&lt;$AB$17,$AD$16,F3&gt;=$AB$17,$AD$17)</f>
        <v>0.03</v>
      </c>
      <c r="Z3" s="50" t="str">
        <f t="shared" ca="1" si="13"/>
        <v>=IFS(F3&lt;$AB$14,$AD$13,F3&lt;$AB$15,$AD$14,F3&lt;$AB$16,$AD$15,F3&lt;$AB$17,$AD$16,F3&gt;=$AB$17,$AD$17)</v>
      </c>
      <c r="AB3" s="39" t="s">
        <v>164</v>
      </c>
      <c r="AK3" s="40"/>
    </row>
    <row r="4" spans="1:37" ht="16.149999999999999" thickBot="1">
      <c r="A4" s="33" t="s">
        <v>165</v>
      </c>
      <c r="B4" s="34">
        <v>44454</v>
      </c>
      <c r="C4" s="33" t="s">
        <v>161</v>
      </c>
      <c r="D4" s="33" t="s">
        <v>157</v>
      </c>
      <c r="E4" s="33" t="s">
        <v>158</v>
      </c>
      <c r="F4" s="45">
        <v>359374</v>
      </c>
      <c r="G4" s="47" t="str">
        <f t="shared" si="0"/>
        <v>Commission</v>
      </c>
      <c r="H4" s="50" t="str">
        <f t="shared" ca="1" si="1"/>
        <v>=IF(F4&gt;200000,"Commission","No-Commission")</v>
      </c>
      <c r="I4" s="48">
        <f t="shared" si="2"/>
        <v>35937.4</v>
      </c>
      <c r="J4" s="50" t="str">
        <f t="shared" ca="1" si="1"/>
        <v>=IF(F4&gt;200000,10%*F4,0%)</v>
      </c>
      <c r="K4" s="35">
        <f t="shared" si="3"/>
        <v>0.1</v>
      </c>
      <c r="L4" s="50" t="str">
        <f t="shared" ref="L4:N4" ca="1" si="14">IFERROR(_xlfn.FORMULATEXT(K4),"")</f>
        <v>=IF(AND(D4="Laptop",E4="Apple"),10%,"-")</v>
      </c>
      <c r="M4" s="45" t="str">
        <f t="shared" si="5"/>
        <v>Commission</v>
      </c>
      <c r="N4" s="50" t="str">
        <f t="shared" ca="1" si="14"/>
        <v>=IF(OR(C4="Delhi",D4="Laptop"),"Commission","No-Commission")</v>
      </c>
      <c r="O4" s="45">
        <f t="shared" si="6"/>
        <v>35937.4</v>
      </c>
      <c r="P4" s="50" t="str">
        <f t="shared" ref="P4:R4" ca="1" si="15">IFERROR(_xlfn.FORMULATEXT(O4),"")</f>
        <v>=IF(AND(D4="laptop",E4="apple"),F4*10%,0)</v>
      </c>
      <c r="Q4" s="45">
        <f t="shared" si="8"/>
        <v>35937.4</v>
      </c>
      <c r="R4" s="50" t="str">
        <f t="shared" ca="1" si="15"/>
        <v>=IF(OR(D4="laptop",C4="delhi"),F4*10%,0)</v>
      </c>
      <c r="S4" s="45">
        <f t="shared" si="9"/>
        <v>35937.4</v>
      </c>
      <c r="T4" s="50" t="str">
        <f t="shared" ref="T4:V4" ca="1" si="16">IFERROR(_xlfn.FORMULATEXT(S4),"")</f>
        <v>=IF(AND(D4="laptop",OR(E4="samsung",E4="Apple")),F4*10%,0)</v>
      </c>
      <c r="U4" s="57" t="str">
        <f t="shared" si="11"/>
        <v>-</v>
      </c>
      <c r="V4" s="50" t="str">
        <f t="shared" ca="1" si="16"/>
        <v>=IFERROR(ROUND(IF(C4="Mumbai","-",F4*5%),0),"-")</v>
      </c>
      <c r="W4" s="35">
        <f t="shared" si="12"/>
        <v>0.05</v>
      </c>
      <c r="X4" s="50" t="str">
        <f t="shared" ref="X4:Z4" ca="1" si="17">IFERROR(_xlfn.FORMULATEXT(W4),"")</f>
        <v>=IF(F4&lt;=200000,3%,IF(F4&lt;=300000,4%,IF(F4&lt;=400000,5%,IF(F4&lt;=500000,6%,10%))))</v>
      </c>
      <c r="Y4" s="35" cm="1">
        <f t="array" ref="Y4">_xlfn.IFS(F4&lt;$AB$14,$AD$13,F4&lt;$AB$15,$AD$14,F4&lt;$AB$16,$AD$15,F4&lt;$AB$17,$AD$16,F4&gt;=$AB$17,$AD$17)</f>
        <v>0.05</v>
      </c>
      <c r="Z4" s="50" t="str">
        <f t="shared" ca="1" si="17"/>
        <v>=IFS(F4&lt;$AB$14,$AD$13,F4&lt;$AB$15,$AD$14,F4&lt;$AB$16,$AD$15,F4&lt;$AB$17,$AD$16,F4&gt;=$AB$17,$AD$17)</v>
      </c>
      <c r="AB4" s="39" t="s">
        <v>166</v>
      </c>
      <c r="AK4" s="40"/>
    </row>
    <row r="5" spans="1:37" ht="16.149999999999999" thickBot="1">
      <c r="A5" s="33" t="s">
        <v>167</v>
      </c>
      <c r="B5" s="34">
        <v>44495</v>
      </c>
      <c r="C5" s="33" t="s">
        <v>156</v>
      </c>
      <c r="D5" s="33" t="s">
        <v>162</v>
      </c>
      <c r="E5" s="33" t="s">
        <v>163</v>
      </c>
      <c r="F5" s="45">
        <v>160847</v>
      </c>
      <c r="G5" s="47" t="str">
        <f t="shared" si="0"/>
        <v>No-Commission</v>
      </c>
      <c r="H5" s="50" t="str">
        <f t="shared" ca="1" si="1"/>
        <v>=IF(F5&gt;200000,"Commission","No-Commission")</v>
      </c>
      <c r="I5" s="48">
        <f t="shared" si="2"/>
        <v>0</v>
      </c>
      <c r="J5" s="50" t="str">
        <f t="shared" ca="1" si="1"/>
        <v>=IF(F5&gt;200000,10%*F5,0%)</v>
      </c>
      <c r="K5" s="35" t="str">
        <f t="shared" si="3"/>
        <v>-</v>
      </c>
      <c r="L5" s="50" t="str">
        <f t="shared" ref="L5:N5" ca="1" si="18">IFERROR(_xlfn.FORMULATEXT(K5),"")</f>
        <v>=IF(AND(D5="Laptop",E5="Apple"),10%,"-")</v>
      </c>
      <c r="M5" s="45" t="str">
        <f t="shared" si="5"/>
        <v>Commission</v>
      </c>
      <c r="N5" s="50" t="str">
        <f t="shared" ca="1" si="18"/>
        <v>=IF(OR(C5="Delhi",D5="Laptop"),"Commission","No-Commission")</v>
      </c>
      <c r="O5" s="45">
        <f t="shared" si="6"/>
        <v>0</v>
      </c>
      <c r="P5" s="50" t="str">
        <f t="shared" ref="P5:R5" ca="1" si="19">IFERROR(_xlfn.FORMULATEXT(O5),"")</f>
        <v>=IF(AND(D5="laptop",E5="apple"),F5*10%,0)</v>
      </c>
      <c r="Q5" s="45">
        <f t="shared" si="8"/>
        <v>16084.7</v>
      </c>
      <c r="R5" s="50" t="str">
        <f t="shared" ca="1" si="19"/>
        <v>=IF(OR(D5="laptop",C5="delhi"),F5*10%,0)</v>
      </c>
      <c r="S5" s="45">
        <f t="shared" si="9"/>
        <v>0</v>
      </c>
      <c r="T5" s="50" t="str">
        <f t="shared" ref="T5:V5" ca="1" si="20">IFERROR(_xlfn.FORMULATEXT(S5),"")</f>
        <v>=IF(AND(D5="laptop",OR(E5="samsung",E5="Apple")),F5*10%,0)</v>
      </c>
      <c r="U5" s="57">
        <f t="shared" si="11"/>
        <v>8042</v>
      </c>
      <c r="V5" s="50" t="str">
        <f t="shared" ca="1" si="20"/>
        <v>=IFERROR(ROUND(IF(C5="Mumbai","-",F5*5%),0),"-")</v>
      </c>
      <c r="W5" s="35">
        <f t="shared" si="12"/>
        <v>0.03</v>
      </c>
      <c r="X5" s="50" t="str">
        <f t="shared" ref="X5:Z5" ca="1" si="21">IFERROR(_xlfn.FORMULATEXT(W5),"")</f>
        <v>=IF(F5&lt;=200000,3%,IF(F5&lt;=300000,4%,IF(F5&lt;=400000,5%,IF(F5&lt;=500000,6%,10%))))</v>
      </c>
      <c r="Y5" s="35" cm="1">
        <f t="array" ref="Y5">_xlfn.IFS(F5&lt;$AB$14,$AD$13,F5&lt;$AB$15,$AD$14,F5&lt;$AB$16,$AD$15,F5&lt;$AB$17,$AD$16,F5&gt;=$AB$17,$AD$17)</f>
        <v>0.03</v>
      </c>
      <c r="Z5" s="50" t="str">
        <f t="shared" ca="1" si="21"/>
        <v>=IFS(F5&lt;$AB$14,$AD$13,F5&lt;$AB$15,$AD$14,F5&lt;$AB$16,$AD$15,F5&lt;$AB$17,$AD$16,F5&gt;=$AB$17,$AD$17)</v>
      </c>
      <c r="AB5" s="39" t="s">
        <v>168</v>
      </c>
      <c r="AK5" s="40"/>
    </row>
    <row r="6" spans="1:37" ht="16.149999999999999" thickBot="1">
      <c r="A6" s="33" t="s">
        <v>169</v>
      </c>
      <c r="B6" s="34">
        <v>44482</v>
      </c>
      <c r="C6" s="33" t="s">
        <v>161</v>
      </c>
      <c r="D6" s="33" t="s">
        <v>170</v>
      </c>
      <c r="E6" s="33" t="s">
        <v>158</v>
      </c>
      <c r="F6" s="45">
        <v>166116</v>
      </c>
      <c r="G6" s="47" t="str">
        <f t="shared" si="0"/>
        <v>No-Commission</v>
      </c>
      <c r="H6" s="50" t="str">
        <f t="shared" ca="1" si="1"/>
        <v>=IF(F6&gt;200000,"Commission","No-Commission")</v>
      </c>
      <c r="I6" s="48">
        <f t="shared" si="2"/>
        <v>0</v>
      </c>
      <c r="J6" s="50" t="str">
        <f t="shared" ca="1" si="1"/>
        <v>=IF(F6&gt;200000,10%*F6,0%)</v>
      </c>
      <c r="K6" s="35" t="str">
        <f t="shared" si="3"/>
        <v>-</v>
      </c>
      <c r="L6" s="50" t="str">
        <f t="shared" ref="L6:N6" ca="1" si="22">IFERROR(_xlfn.FORMULATEXT(K6),"")</f>
        <v>=IF(AND(D6="Laptop",E6="Apple"),10%,"-")</v>
      </c>
      <c r="M6" s="45" t="str">
        <f t="shared" si="5"/>
        <v>No-Commission</v>
      </c>
      <c r="N6" s="50" t="str">
        <f t="shared" ca="1" si="22"/>
        <v>=IF(OR(C6="Delhi",D6="Laptop"),"Commission","No-Commission")</v>
      </c>
      <c r="O6" s="45">
        <f t="shared" si="6"/>
        <v>0</v>
      </c>
      <c r="P6" s="50" t="str">
        <f t="shared" ref="P6:R6" ca="1" si="23">IFERROR(_xlfn.FORMULATEXT(O6),"")</f>
        <v>=IF(AND(D6="laptop",E6="apple"),F6*10%,0)</v>
      </c>
      <c r="Q6" s="45">
        <f t="shared" si="8"/>
        <v>0</v>
      </c>
      <c r="R6" s="50" t="str">
        <f t="shared" ca="1" si="23"/>
        <v>=IF(OR(D6="laptop",C6="delhi"),F6*10%,0)</v>
      </c>
      <c r="S6" s="45">
        <f t="shared" si="9"/>
        <v>0</v>
      </c>
      <c r="T6" s="50" t="str">
        <f t="shared" ref="T6:V6" ca="1" si="24">IFERROR(_xlfn.FORMULATEXT(S6),"")</f>
        <v>=IF(AND(D6="laptop",OR(E6="samsung",E6="Apple")),F6*10%,0)</v>
      </c>
      <c r="U6" s="57" t="str">
        <f t="shared" si="11"/>
        <v>-</v>
      </c>
      <c r="V6" s="50" t="str">
        <f t="shared" ca="1" si="24"/>
        <v>=IFERROR(ROUND(IF(C6="Mumbai","-",F6*5%),0),"-")</v>
      </c>
      <c r="W6" s="35">
        <f t="shared" si="12"/>
        <v>0.03</v>
      </c>
      <c r="X6" s="50" t="str">
        <f t="shared" ref="X6:Z6" ca="1" si="25">IFERROR(_xlfn.FORMULATEXT(W6),"")</f>
        <v>=IF(F6&lt;=200000,3%,IF(F6&lt;=300000,4%,IF(F6&lt;=400000,5%,IF(F6&lt;=500000,6%,10%))))</v>
      </c>
      <c r="Y6" s="35" cm="1">
        <f t="array" ref="Y6">_xlfn.IFS(F6&lt;$AB$14,$AD$13,F6&lt;$AB$15,$AD$14,F6&lt;$AB$16,$AD$15,F6&lt;$AB$17,$AD$16,F6&gt;=$AB$17,$AD$17)</f>
        <v>0.03</v>
      </c>
      <c r="Z6" s="50" t="str">
        <f t="shared" ca="1" si="25"/>
        <v>=IFS(F6&lt;$AB$14,$AD$13,F6&lt;$AB$15,$AD$14,F6&lt;$AB$16,$AD$15,F6&lt;$AB$17,$AD$16,F6&gt;=$AB$17,$AD$17)</v>
      </c>
      <c r="AB6" s="39" t="s">
        <v>171</v>
      </c>
      <c r="AK6" s="40"/>
    </row>
    <row r="7" spans="1:37" ht="16.149999999999999" thickBot="1">
      <c r="A7" s="33" t="s">
        <v>172</v>
      </c>
      <c r="B7" s="34">
        <v>44400</v>
      </c>
      <c r="C7" s="33" t="s">
        <v>161</v>
      </c>
      <c r="D7" s="33" t="s">
        <v>157</v>
      </c>
      <c r="E7" s="33" t="s">
        <v>121</v>
      </c>
      <c r="F7" s="45">
        <v>216602</v>
      </c>
      <c r="G7" s="47" t="str">
        <f t="shared" si="0"/>
        <v>Commission</v>
      </c>
      <c r="H7" s="50" t="str">
        <f t="shared" ca="1" si="1"/>
        <v>=IF(F7&gt;200000,"Commission","No-Commission")</v>
      </c>
      <c r="I7" s="48">
        <f t="shared" si="2"/>
        <v>21660.2</v>
      </c>
      <c r="J7" s="50" t="str">
        <f t="shared" ca="1" si="1"/>
        <v>=IF(F7&gt;200000,10%*F7,0%)</v>
      </c>
      <c r="K7" s="35" t="str">
        <f t="shared" si="3"/>
        <v>-</v>
      </c>
      <c r="L7" s="50" t="str">
        <f t="shared" ref="L7:N7" ca="1" si="26">IFERROR(_xlfn.FORMULATEXT(K7),"")</f>
        <v>=IF(AND(D7="Laptop",E7="Apple"),10%,"-")</v>
      </c>
      <c r="M7" s="45" t="str">
        <f t="shared" si="5"/>
        <v>Commission</v>
      </c>
      <c r="N7" s="50" t="str">
        <f t="shared" ca="1" si="26"/>
        <v>=IF(OR(C7="Delhi",D7="Laptop"),"Commission","No-Commission")</v>
      </c>
      <c r="O7" s="45">
        <f t="shared" si="6"/>
        <v>0</v>
      </c>
      <c r="P7" s="50" t="str">
        <f t="shared" ref="P7:R7" ca="1" si="27">IFERROR(_xlfn.FORMULATEXT(O7),"")</f>
        <v>=IF(AND(D7="laptop",E7="apple"),F7*10%,0)</v>
      </c>
      <c r="Q7" s="45">
        <f t="shared" si="8"/>
        <v>21660.2</v>
      </c>
      <c r="R7" s="50" t="str">
        <f t="shared" ca="1" si="27"/>
        <v>=IF(OR(D7="laptop",C7="delhi"),F7*10%,0)</v>
      </c>
      <c r="S7" s="45">
        <f t="shared" si="9"/>
        <v>0</v>
      </c>
      <c r="T7" s="50" t="str">
        <f t="shared" ref="T7:V7" ca="1" si="28">IFERROR(_xlfn.FORMULATEXT(S7),"")</f>
        <v>=IF(AND(D7="laptop",OR(E7="samsung",E7="Apple")),F7*10%,0)</v>
      </c>
      <c r="U7" s="57" t="str">
        <f t="shared" si="11"/>
        <v>-</v>
      </c>
      <c r="V7" s="50" t="str">
        <f t="shared" ca="1" si="28"/>
        <v>=IFERROR(ROUND(IF(C7="Mumbai","-",F7*5%),0),"-")</v>
      </c>
      <c r="W7" s="35">
        <f t="shared" si="12"/>
        <v>0.04</v>
      </c>
      <c r="X7" s="50" t="str">
        <f t="shared" ref="X7:Z7" ca="1" si="29">IFERROR(_xlfn.FORMULATEXT(W7),"")</f>
        <v>=IF(F7&lt;=200000,3%,IF(F7&lt;=300000,4%,IF(F7&lt;=400000,5%,IF(F7&lt;=500000,6%,10%))))</v>
      </c>
      <c r="Y7" s="35" cm="1">
        <f t="array" ref="Y7">_xlfn.IFS(F7&lt;$AB$14,$AD$13,F7&lt;$AB$15,$AD$14,F7&lt;$AB$16,$AD$15,F7&lt;$AB$17,$AD$16,F7&gt;=$AB$17,$AD$17)</f>
        <v>0.04</v>
      </c>
      <c r="Z7" s="50" t="str">
        <f t="shared" ca="1" si="29"/>
        <v>=IFS(F7&lt;$AB$14,$AD$13,F7&lt;$AB$15,$AD$14,F7&lt;$AB$16,$AD$15,F7&lt;$AB$17,$AD$16,F7&gt;=$AB$17,$AD$17)</v>
      </c>
      <c r="AB7" s="39" t="s">
        <v>173</v>
      </c>
      <c r="AK7" s="40"/>
    </row>
    <row r="8" spans="1:37" ht="16.149999999999999" thickBot="1">
      <c r="A8" s="33" t="s">
        <v>174</v>
      </c>
      <c r="B8" s="34">
        <v>44448</v>
      </c>
      <c r="C8" s="33" t="s">
        <v>156</v>
      </c>
      <c r="D8" s="33" t="s">
        <v>170</v>
      </c>
      <c r="E8" s="33" t="s">
        <v>158</v>
      </c>
      <c r="F8" s="45">
        <v>239749</v>
      </c>
      <c r="G8" s="47" t="str">
        <f t="shared" si="0"/>
        <v>Commission</v>
      </c>
      <c r="H8" s="50" t="str">
        <f t="shared" ca="1" si="1"/>
        <v>=IF(F8&gt;200000,"Commission","No-Commission")</v>
      </c>
      <c r="I8" s="48">
        <f t="shared" si="2"/>
        <v>23974.9</v>
      </c>
      <c r="J8" s="50" t="str">
        <f t="shared" ca="1" si="1"/>
        <v>=IF(F8&gt;200000,10%*F8,0%)</v>
      </c>
      <c r="K8" s="35" t="str">
        <f t="shared" si="3"/>
        <v>-</v>
      </c>
      <c r="L8" s="50" t="str">
        <f t="shared" ref="L8:N8" ca="1" si="30">IFERROR(_xlfn.FORMULATEXT(K8),"")</f>
        <v>=IF(AND(D8="Laptop",E8="Apple"),10%,"-")</v>
      </c>
      <c r="M8" s="45" t="str">
        <f t="shared" si="5"/>
        <v>Commission</v>
      </c>
      <c r="N8" s="50" t="str">
        <f t="shared" ca="1" si="30"/>
        <v>=IF(OR(C8="Delhi",D8="Laptop"),"Commission","No-Commission")</v>
      </c>
      <c r="O8" s="45">
        <f t="shared" si="6"/>
        <v>0</v>
      </c>
      <c r="P8" s="50" t="str">
        <f t="shared" ref="P8:R8" ca="1" si="31">IFERROR(_xlfn.FORMULATEXT(O8),"")</f>
        <v>=IF(AND(D8="laptop",E8="apple"),F8*10%,0)</v>
      </c>
      <c r="Q8" s="45">
        <f t="shared" si="8"/>
        <v>23974.9</v>
      </c>
      <c r="R8" s="50" t="str">
        <f t="shared" ca="1" si="31"/>
        <v>=IF(OR(D8="laptop",C8="delhi"),F8*10%,0)</v>
      </c>
      <c r="S8" s="45">
        <f t="shared" si="9"/>
        <v>0</v>
      </c>
      <c r="T8" s="50" t="str">
        <f t="shared" ref="T8:V8" ca="1" si="32">IFERROR(_xlfn.FORMULATEXT(S8),"")</f>
        <v>=IF(AND(D8="laptop",OR(E8="samsung",E8="Apple")),F8*10%,0)</v>
      </c>
      <c r="U8" s="57">
        <f t="shared" si="11"/>
        <v>11987</v>
      </c>
      <c r="V8" s="50" t="str">
        <f t="shared" ca="1" si="32"/>
        <v>=IFERROR(ROUND(IF(C8="Mumbai","-",F8*5%),0),"-")</v>
      </c>
      <c r="W8" s="35">
        <f t="shared" si="12"/>
        <v>0.04</v>
      </c>
      <c r="X8" s="50" t="str">
        <f t="shared" ref="X8:Z8" ca="1" si="33">IFERROR(_xlfn.FORMULATEXT(W8),"")</f>
        <v>=IF(F8&lt;=200000,3%,IF(F8&lt;=300000,4%,IF(F8&lt;=400000,5%,IF(F8&lt;=500000,6%,10%))))</v>
      </c>
      <c r="Y8" s="35" cm="1">
        <f t="array" ref="Y8">_xlfn.IFS(F8&lt;$AB$14,$AD$13,F8&lt;$AB$15,$AD$14,F8&lt;$AB$16,$AD$15,F8&lt;$AB$17,$AD$16,F8&gt;=$AB$17,$AD$17)</f>
        <v>0.04</v>
      </c>
      <c r="Z8" s="50" t="str">
        <f t="shared" ca="1" si="33"/>
        <v>=IFS(F8&lt;$AB$14,$AD$13,F8&lt;$AB$15,$AD$14,F8&lt;$AB$16,$AD$15,F8&lt;$AB$17,$AD$16,F8&gt;=$AB$17,$AD$17)</v>
      </c>
      <c r="AB8" s="39" t="s">
        <v>175</v>
      </c>
      <c r="AK8" s="40"/>
    </row>
    <row r="9" spans="1:37" ht="16.149999999999999" thickBot="1">
      <c r="A9" s="33" t="s">
        <v>176</v>
      </c>
      <c r="B9" s="34">
        <v>44381</v>
      </c>
      <c r="C9" s="33" t="s">
        <v>161</v>
      </c>
      <c r="D9" s="33" t="s">
        <v>157</v>
      </c>
      <c r="E9" s="33" t="s">
        <v>158</v>
      </c>
      <c r="F9" s="45">
        <v>269164</v>
      </c>
      <c r="G9" s="47" t="str">
        <f t="shared" si="0"/>
        <v>Commission</v>
      </c>
      <c r="H9" s="50" t="str">
        <f t="shared" ca="1" si="1"/>
        <v>=IF(F9&gt;200000,"Commission","No-Commission")</v>
      </c>
      <c r="I9" s="48">
        <f t="shared" si="2"/>
        <v>26916.400000000001</v>
      </c>
      <c r="J9" s="50" t="str">
        <f t="shared" ca="1" si="1"/>
        <v>=IF(F9&gt;200000,10%*F9,0%)</v>
      </c>
      <c r="K9" s="35">
        <f t="shared" si="3"/>
        <v>0.1</v>
      </c>
      <c r="L9" s="50" t="str">
        <f t="shared" ref="L9:N9" ca="1" si="34">IFERROR(_xlfn.FORMULATEXT(K9),"")</f>
        <v>=IF(AND(D9="Laptop",E9="Apple"),10%,"-")</v>
      </c>
      <c r="M9" s="45" t="str">
        <f t="shared" si="5"/>
        <v>Commission</v>
      </c>
      <c r="N9" s="50" t="str">
        <f t="shared" ca="1" si="34"/>
        <v>=IF(OR(C9="Delhi",D9="Laptop"),"Commission","No-Commission")</v>
      </c>
      <c r="O9" s="45">
        <f t="shared" si="6"/>
        <v>26916.400000000001</v>
      </c>
      <c r="P9" s="50" t="str">
        <f t="shared" ref="P9:R9" ca="1" si="35">IFERROR(_xlfn.FORMULATEXT(O9),"")</f>
        <v>=IF(AND(D9="laptop",E9="apple"),F9*10%,0)</v>
      </c>
      <c r="Q9" s="45">
        <f t="shared" si="8"/>
        <v>26916.400000000001</v>
      </c>
      <c r="R9" s="50" t="str">
        <f t="shared" ca="1" si="35"/>
        <v>=IF(OR(D9="laptop",C9="delhi"),F9*10%,0)</v>
      </c>
      <c r="S9" s="45">
        <f t="shared" si="9"/>
        <v>26916.400000000001</v>
      </c>
      <c r="T9" s="50" t="str">
        <f t="shared" ref="T9:V9" ca="1" si="36">IFERROR(_xlfn.FORMULATEXT(S9),"")</f>
        <v>=IF(AND(D9="laptop",OR(E9="samsung",E9="Apple")),F9*10%,0)</v>
      </c>
      <c r="U9" s="57" t="str">
        <f t="shared" si="11"/>
        <v>-</v>
      </c>
      <c r="V9" s="50" t="str">
        <f t="shared" ca="1" si="36"/>
        <v>=IFERROR(ROUND(IF(C9="Mumbai","-",F9*5%),0),"-")</v>
      </c>
      <c r="W9" s="35">
        <f t="shared" si="12"/>
        <v>0.04</v>
      </c>
      <c r="X9" s="50" t="str">
        <f t="shared" ref="X9:Z9" ca="1" si="37">IFERROR(_xlfn.FORMULATEXT(W9),"")</f>
        <v>=IF(F9&lt;=200000,3%,IF(F9&lt;=300000,4%,IF(F9&lt;=400000,5%,IF(F9&lt;=500000,6%,10%))))</v>
      </c>
      <c r="Y9" s="35" cm="1">
        <f t="array" ref="Y9">_xlfn.IFS(F9&lt;$AB$14,$AD$13,F9&lt;$AB$15,$AD$14,F9&lt;$AB$16,$AD$15,F9&lt;$AB$17,$AD$16,F9&gt;=$AB$17,$AD$17)</f>
        <v>0.04</v>
      </c>
      <c r="Z9" s="50" t="str">
        <f t="shared" ca="1" si="37"/>
        <v>=IFS(F9&lt;$AB$14,$AD$13,F9&lt;$AB$15,$AD$14,F9&lt;$AB$16,$AD$15,F9&lt;$AB$17,$AD$16,F9&gt;=$AB$17,$AD$17)</v>
      </c>
      <c r="AB9" s="39" t="s">
        <v>177</v>
      </c>
      <c r="AK9" s="40"/>
    </row>
    <row r="10" spans="1:37" ht="15" thickBot="1">
      <c r="A10" s="33" t="s">
        <v>178</v>
      </c>
      <c r="B10" s="34">
        <v>44529</v>
      </c>
      <c r="C10" s="33" t="s">
        <v>179</v>
      </c>
      <c r="D10" s="33" t="s">
        <v>157</v>
      </c>
      <c r="E10" s="33" t="s">
        <v>163</v>
      </c>
      <c r="F10" s="45">
        <v>189574</v>
      </c>
      <c r="G10" s="47" t="str">
        <f t="shared" si="0"/>
        <v>No-Commission</v>
      </c>
      <c r="H10" s="50" t="str">
        <f t="shared" ca="1" si="1"/>
        <v>=IF(F10&gt;200000,"Commission","No-Commission")</v>
      </c>
      <c r="I10" s="48">
        <f t="shared" si="2"/>
        <v>0</v>
      </c>
      <c r="J10" s="50" t="str">
        <f t="shared" ca="1" si="1"/>
        <v>=IF(F10&gt;200000,10%*F10,0%)</v>
      </c>
      <c r="K10" s="35" t="str">
        <f t="shared" si="3"/>
        <v>-</v>
      </c>
      <c r="L10" s="50" t="str">
        <f t="shared" ref="L10:N10" ca="1" si="38">IFERROR(_xlfn.FORMULATEXT(K10),"")</f>
        <v>=IF(AND(D10="Laptop",E10="Apple"),10%,"-")</v>
      </c>
      <c r="M10" s="45" t="str">
        <f t="shared" si="5"/>
        <v>Commission</v>
      </c>
      <c r="N10" s="50" t="str">
        <f t="shared" ca="1" si="38"/>
        <v>=IF(OR(C10="Delhi",D10="Laptop"),"Commission","No-Commission")</v>
      </c>
      <c r="O10" s="45">
        <f t="shared" si="6"/>
        <v>0</v>
      </c>
      <c r="P10" s="50" t="str">
        <f t="shared" ref="P10:R10" ca="1" si="39">IFERROR(_xlfn.FORMULATEXT(O10),"")</f>
        <v>=IF(AND(D10="laptop",E10="apple"),F10*10%,0)</v>
      </c>
      <c r="Q10" s="45">
        <f t="shared" si="8"/>
        <v>18957.400000000001</v>
      </c>
      <c r="R10" s="50" t="str">
        <f t="shared" ca="1" si="39"/>
        <v>=IF(OR(D10="laptop",C10="delhi"),F10*10%,0)</v>
      </c>
      <c r="S10" s="45">
        <f t="shared" si="9"/>
        <v>18957.400000000001</v>
      </c>
      <c r="T10" s="50" t="str">
        <f t="shared" ref="T10:V10" ca="1" si="40">IFERROR(_xlfn.FORMULATEXT(S10),"")</f>
        <v>=IF(AND(D10="laptop",OR(E10="samsung",E10="Apple")),F10*10%,0)</v>
      </c>
      <c r="U10" s="57">
        <f t="shared" si="11"/>
        <v>9479</v>
      </c>
      <c r="V10" s="50" t="str">
        <f t="shared" ca="1" si="40"/>
        <v>=IFERROR(ROUND(IF(C10="Mumbai","-",F10*5%),0),"-")</v>
      </c>
      <c r="W10" s="35">
        <f t="shared" si="12"/>
        <v>0.03</v>
      </c>
      <c r="X10" s="50" t="str">
        <f t="shared" ref="X10:Z10" ca="1" si="41">IFERROR(_xlfn.FORMULATEXT(W10),"")</f>
        <v>=IF(F10&lt;=200000,3%,IF(F10&lt;=300000,4%,IF(F10&lt;=400000,5%,IF(F10&lt;=500000,6%,10%))))</v>
      </c>
      <c r="Y10" s="35" cm="1">
        <f t="array" ref="Y10">_xlfn.IFS(F10&lt;$AB$14,$AD$13,F10&lt;$AB$15,$AD$14,F10&lt;$AB$16,$AD$15,F10&lt;$AB$17,$AD$16,F10&gt;=$AB$17,$AD$17)</f>
        <v>0.03</v>
      </c>
      <c r="Z10" s="50" t="str">
        <f t="shared" ca="1" si="41"/>
        <v>=IFS(F10&lt;$AB$14,$AD$13,F10&lt;$AB$15,$AD$14,F10&lt;$AB$16,$AD$15,F10&lt;$AB$17,$AD$16,F10&gt;=$AB$17,$AD$17)</v>
      </c>
    </row>
    <row r="11" spans="1:37" ht="15" thickBot="1">
      <c r="A11" s="33" t="s">
        <v>180</v>
      </c>
      <c r="B11" s="34">
        <v>44542</v>
      </c>
      <c r="C11" s="33" t="s">
        <v>161</v>
      </c>
      <c r="D11" s="33" t="s">
        <v>162</v>
      </c>
      <c r="E11" s="33" t="s">
        <v>121</v>
      </c>
      <c r="F11" s="45">
        <v>259237</v>
      </c>
      <c r="G11" s="47" t="str">
        <f t="shared" si="0"/>
        <v>Commission</v>
      </c>
      <c r="H11" s="50" t="str">
        <f t="shared" ca="1" si="1"/>
        <v>=IF(F11&gt;200000,"Commission","No-Commission")</v>
      </c>
      <c r="I11" s="48">
        <f t="shared" si="2"/>
        <v>25923.7</v>
      </c>
      <c r="J11" s="50" t="str">
        <f t="shared" ca="1" si="1"/>
        <v>=IF(F11&gt;200000,10%*F11,0%)</v>
      </c>
      <c r="K11" s="35" t="str">
        <f t="shared" si="3"/>
        <v>-</v>
      </c>
      <c r="L11" s="50" t="str">
        <f t="shared" ref="L11:N11" ca="1" si="42">IFERROR(_xlfn.FORMULATEXT(K11),"")</f>
        <v>=IF(AND(D11="Laptop",E11="Apple"),10%,"-")</v>
      </c>
      <c r="M11" s="45" t="str">
        <f t="shared" si="5"/>
        <v>No-Commission</v>
      </c>
      <c r="N11" s="50" t="str">
        <f t="shared" ca="1" si="42"/>
        <v>=IF(OR(C11="Delhi",D11="Laptop"),"Commission","No-Commission")</v>
      </c>
      <c r="O11" s="45">
        <f t="shared" si="6"/>
        <v>0</v>
      </c>
      <c r="P11" s="50" t="str">
        <f t="shared" ref="P11:R11" ca="1" si="43">IFERROR(_xlfn.FORMULATEXT(O11),"")</f>
        <v>=IF(AND(D11="laptop",E11="apple"),F11*10%,0)</v>
      </c>
      <c r="Q11" s="45">
        <f t="shared" si="8"/>
        <v>0</v>
      </c>
      <c r="R11" s="50" t="str">
        <f t="shared" ca="1" si="43"/>
        <v>=IF(OR(D11="laptop",C11="delhi"),F11*10%,0)</v>
      </c>
      <c r="S11" s="45">
        <f t="shared" si="9"/>
        <v>0</v>
      </c>
      <c r="T11" s="50" t="str">
        <f t="shared" ref="T11:V11" ca="1" si="44">IFERROR(_xlfn.FORMULATEXT(S11),"")</f>
        <v>=IF(AND(D11="laptop",OR(E11="samsung",E11="Apple")),F11*10%,0)</v>
      </c>
      <c r="U11" s="57" t="str">
        <f t="shared" si="11"/>
        <v>-</v>
      </c>
      <c r="V11" s="50" t="str">
        <f t="shared" ca="1" si="44"/>
        <v>=IFERROR(ROUND(IF(C11="Mumbai","-",F11*5%),0),"-")</v>
      </c>
      <c r="W11" s="35">
        <f t="shared" si="12"/>
        <v>0.04</v>
      </c>
      <c r="X11" s="50" t="str">
        <f t="shared" ref="X11:Z11" ca="1" si="45">IFERROR(_xlfn.FORMULATEXT(W11),"")</f>
        <v>=IF(F11&lt;=200000,3%,IF(F11&lt;=300000,4%,IF(F11&lt;=400000,5%,IF(F11&lt;=500000,6%,10%))))</v>
      </c>
      <c r="Y11" s="35" cm="1">
        <f t="array" ref="Y11">_xlfn.IFS(F11&lt;$AB$14,$AD$13,F11&lt;$AB$15,$AD$14,F11&lt;$AB$16,$AD$15,F11&lt;$AB$17,$AD$16,F11&gt;=$AB$17,$AD$17)</f>
        <v>0.04</v>
      </c>
      <c r="Z11" s="50" t="str">
        <f t="shared" ca="1" si="45"/>
        <v>=IFS(F11&lt;$AB$14,$AD$13,F11&lt;$AB$15,$AD$14,F11&lt;$AB$16,$AD$15,F11&lt;$AB$17,$AD$16,F11&gt;=$AB$17,$AD$17)</v>
      </c>
    </row>
    <row r="12" spans="1:37" ht="15" thickBot="1">
      <c r="A12" s="33" t="s">
        <v>181</v>
      </c>
      <c r="B12" s="34">
        <v>44335</v>
      </c>
      <c r="C12" s="33" t="s">
        <v>156</v>
      </c>
      <c r="D12" s="33" t="s">
        <v>162</v>
      </c>
      <c r="E12" s="33" t="s">
        <v>121</v>
      </c>
      <c r="F12" s="45">
        <v>157481</v>
      </c>
      <c r="G12" s="47" t="str">
        <f t="shared" si="0"/>
        <v>No-Commission</v>
      </c>
      <c r="H12" s="50" t="str">
        <f t="shared" ca="1" si="1"/>
        <v>=IF(F12&gt;200000,"Commission","No-Commission")</v>
      </c>
      <c r="I12" s="48">
        <f t="shared" si="2"/>
        <v>0</v>
      </c>
      <c r="J12" s="50" t="str">
        <f t="shared" ca="1" si="1"/>
        <v>=IF(F12&gt;200000,10%*F12,0%)</v>
      </c>
      <c r="K12" s="35" t="str">
        <f t="shared" si="3"/>
        <v>-</v>
      </c>
      <c r="L12" s="50" t="str">
        <f t="shared" ref="L12:N12" ca="1" si="46">IFERROR(_xlfn.FORMULATEXT(K12),"")</f>
        <v>=IF(AND(D12="Laptop",E12="Apple"),10%,"-")</v>
      </c>
      <c r="M12" s="45" t="str">
        <f t="shared" si="5"/>
        <v>Commission</v>
      </c>
      <c r="N12" s="50" t="str">
        <f t="shared" ca="1" si="46"/>
        <v>=IF(OR(C12="Delhi",D12="Laptop"),"Commission","No-Commission")</v>
      </c>
      <c r="O12" s="45">
        <f t="shared" si="6"/>
        <v>0</v>
      </c>
      <c r="P12" s="50" t="str">
        <f t="shared" ref="P12:R12" ca="1" si="47">IFERROR(_xlfn.FORMULATEXT(O12),"")</f>
        <v>=IF(AND(D12="laptop",E12="apple"),F12*10%,0)</v>
      </c>
      <c r="Q12" s="45">
        <f t="shared" si="8"/>
        <v>15748.1</v>
      </c>
      <c r="R12" s="50" t="str">
        <f t="shared" ca="1" si="47"/>
        <v>=IF(OR(D12="laptop",C12="delhi"),F12*10%,0)</v>
      </c>
      <c r="S12" s="45">
        <f t="shared" si="9"/>
        <v>0</v>
      </c>
      <c r="T12" s="50" t="str">
        <f t="shared" ref="T12:V12" ca="1" si="48">IFERROR(_xlfn.FORMULATEXT(S12),"")</f>
        <v>=IF(AND(D12="laptop",OR(E12="samsung",E12="Apple")),F12*10%,0)</v>
      </c>
      <c r="U12" s="57">
        <f t="shared" si="11"/>
        <v>7874</v>
      </c>
      <c r="V12" s="50" t="str">
        <f t="shared" ca="1" si="48"/>
        <v>=IFERROR(ROUND(IF(C12="Mumbai","-",F12*5%),0),"-")</v>
      </c>
      <c r="W12" s="35">
        <f t="shared" si="12"/>
        <v>0.03</v>
      </c>
      <c r="X12" s="50" t="str">
        <f t="shared" ref="X12:Z12" ca="1" si="49">IFERROR(_xlfn.FORMULATEXT(W12),"")</f>
        <v>=IF(F12&lt;=200000,3%,IF(F12&lt;=300000,4%,IF(F12&lt;=400000,5%,IF(F12&lt;=500000,6%,10%))))</v>
      </c>
      <c r="Y12" s="35" cm="1">
        <f t="array" ref="Y12">_xlfn.IFS(F12&lt;$AB$14,$AD$13,F12&lt;$AB$15,$AD$14,F12&lt;$AB$16,$AD$15,F12&lt;$AB$17,$AD$16,F12&gt;=$AB$17,$AD$17)</f>
        <v>0.03</v>
      </c>
      <c r="Z12" s="50" t="str">
        <f t="shared" ca="1" si="49"/>
        <v>=IFS(F12&lt;$AB$14,$AD$13,F12&lt;$AB$15,$AD$14,F12&lt;$AB$16,$AD$15,F12&lt;$AB$17,$AD$16,F12&gt;=$AB$17,$AD$17)</v>
      </c>
      <c r="AB12" s="41" t="s">
        <v>182</v>
      </c>
      <c r="AC12" t="s">
        <v>183</v>
      </c>
      <c r="AD12" t="s">
        <v>184</v>
      </c>
    </row>
    <row r="13" spans="1:37" ht="15" thickBot="1">
      <c r="A13" s="33" t="s">
        <v>185</v>
      </c>
      <c r="B13" s="34">
        <v>44379</v>
      </c>
      <c r="C13" s="33" t="s">
        <v>161</v>
      </c>
      <c r="D13" s="33" t="s">
        <v>162</v>
      </c>
      <c r="E13" s="33" t="s">
        <v>163</v>
      </c>
      <c r="F13" s="45">
        <v>297769</v>
      </c>
      <c r="G13" s="47" t="str">
        <f t="shared" si="0"/>
        <v>Commission</v>
      </c>
      <c r="H13" s="50" t="str">
        <f t="shared" ca="1" si="1"/>
        <v>=IF(F13&gt;200000,"Commission","No-Commission")</v>
      </c>
      <c r="I13" s="48">
        <f t="shared" si="2"/>
        <v>29776.9</v>
      </c>
      <c r="J13" s="50" t="str">
        <f t="shared" ca="1" si="1"/>
        <v>=IF(F13&gt;200000,10%*F13,0%)</v>
      </c>
      <c r="K13" s="35" t="str">
        <f t="shared" si="3"/>
        <v>-</v>
      </c>
      <c r="L13" s="50" t="str">
        <f t="shared" ref="L13:N13" ca="1" si="50">IFERROR(_xlfn.FORMULATEXT(K13),"")</f>
        <v>=IF(AND(D13="Laptop",E13="Apple"),10%,"-")</v>
      </c>
      <c r="M13" s="45" t="str">
        <f t="shared" si="5"/>
        <v>No-Commission</v>
      </c>
      <c r="N13" s="50" t="str">
        <f t="shared" ca="1" si="50"/>
        <v>=IF(OR(C13="Delhi",D13="Laptop"),"Commission","No-Commission")</v>
      </c>
      <c r="O13" s="45">
        <f t="shared" si="6"/>
        <v>0</v>
      </c>
      <c r="P13" s="50" t="str">
        <f t="shared" ref="P13:R13" ca="1" si="51">IFERROR(_xlfn.FORMULATEXT(O13),"")</f>
        <v>=IF(AND(D13="laptop",E13="apple"),F13*10%,0)</v>
      </c>
      <c r="Q13" s="45">
        <f t="shared" si="8"/>
        <v>0</v>
      </c>
      <c r="R13" s="50" t="str">
        <f t="shared" ca="1" si="51"/>
        <v>=IF(OR(D13="laptop",C13="delhi"),F13*10%,0)</v>
      </c>
      <c r="S13" s="45">
        <f t="shared" si="9"/>
        <v>0</v>
      </c>
      <c r="T13" s="50" t="str">
        <f t="shared" ref="T13:V13" ca="1" si="52">IFERROR(_xlfn.FORMULATEXT(S13),"")</f>
        <v>=IF(AND(D13="laptop",OR(E13="samsung",E13="Apple")),F13*10%,0)</v>
      </c>
      <c r="U13" s="57" t="str">
        <f t="shared" si="11"/>
        <v>-</v>
      </c>
      <c r="V13" s="50" t="str">
        <f t="shared" ca="1" si="52"/>
        <v>=IFERROR(ROUND(IF(C13="Mumbai","-",F13*5%),0),"-")</v>
      </c>
      <c r="W13" s="35">
        <f t="shared" si="12"/>
        <v>0.04</v>
      </c>
      <c r="X13" s="50" t="str">
        <f t="shared" ref="X13:Z13" ca="1" si="53">IFERROR(_xlfn.FORMULATEXT(W13),"")</f>
        <v>=IF(F13&lt;=200000,3%,IF(F13&lt;=300000,4%,IF(F13&lt;=400000,5%,IF(F13&lt;=500000,6%,10%))))</v>
      </c>
      <c r="Y13" s="35" cm="1">
        <f t="array" ref="Y13">_xlfn.IFS(F13&lt;$AB$14,$AD$13,F13&lt;$AB$15,$AD$14,F13&lt;$AB$16,$AD$15,F13&lt;$AB$17,$AD$16,F13&gt;=$AB$17,$AD$17)</f>
        <v>0.04</v>
      </c>
      <c r="Z13" s="50" t="str">
        <f t="shared" ca="1" si="53"/>
        <v>=IFS(F13&lt;$AB$14,$AD$13,F13&lt;$AB$15,$AD$14,F13&lt;$AB$16,$AD$15,F13&lt;$AB$17,$AD$16,F13&gt;=$AB$17,$AD$17)</v>
      </c>
      <c r="AB13" s="58">
        <v>0</v>
      </c>
      <c r="AC13" s="58">
        <v>200000</v>
      </c>
      <c r="AD13" s="15">
        <v>0.03</v>
      </c>
    </row>
    <row r="14" spans="1:37" ht="15" thickBot="1">
      <c r="A14" s="33" t="s">
        <v>186</v>
      </c>
      <c r="B14" s="34">
        <v>44334</v>
      </c>
      <c r="C14" s="33" t="s">
        <v>156</v>
      </c>
      <c r="D14" s="33" t="s">
        <v>170</v>
      </c>
      <c r="E14" s="33" t="s">
        <v>158</v>
      </c>
      <c r="F14" s="45">
        <v>197482</v>
      </c>
      <c r="G14" s="47" t="str">
        <f t="shared" si="0"/>
        <v>No-Commission</v>
      </c>
      <c r="H14" s="50" t="str">
        <f t="shared" ca="1" si="1"/>
        <v>=IF(F14&gt;200000,"Commission","No-Commission")</v>
      </c>
      <c r="I14" s="48">
        <f t="shared" si="2"/>
        <v>0</v>
      </c>
      <c r="J14" s="50" t="str">
        <f t="shared" ca="1" si="1"/>
        <v>=IF(F14&gt;200000,10%*F14,0%)</v>
      </c>
      <c r="K14" s="35" t="str">
        <f t="shared" si="3"/>
        <v>-</v>
      </c>
      <c r="L14" s="50" t="str">
        <f t="shared" ref="L14:N14" ca="1" si="54">IFERROR(_xlfn.FORMULATEXT(K14),"")</f>
        <v>=IF(AND(D14="Laptop",E14="Apple"),10%,"-")</v>
      </c>
      <c r="M14" s="45" t="str">
        <f t="shared" si="5"/>
        <v>Commission</v>
      </c>
      <c r="N14" s="50" t="str">
        <f t="shared" ca="1" si="54"/>
        <v>=IF(OR(C14="Delhi",D14="Laptop"),"Commission","No-Commission")</v>
      </c>
      <c r="O14" s="45">
        <f t="shared" si="6"/>
        <v>0</v>
      </c>
      <c r="P14" s="50" t="str">
        <f t="shared" ref="P14:R14" ca="1" si="55">IFERROR(_xlfn.FORMULATEXT(O14),"")</f>
        <v>=IF(AND(D14="laptop",E14="apple"),F14*10%,0)</v>
      </c>
      <c r="Q14" s="45">
        <f t="shared" si="8"/>
        <v>19748.2</v>
      </c>
      <c r="R14" s="50" t="str">
        <f t="shared" ca="1" si="55"/>
        <v>=IF(OR(D14="laptop",C14="delhi"),F14*10%,0)</v>
      </c>
      <c r="S14" s="45">
        <f t="shared" si="9"/>
        <v>0</v>
      </c>
      <c r="T14" s="50" t="str">
        <f t="shared" ref="T14:V14" ca="1" si="56">IFERROR(_xlfn.FORMULATEXT(S14),"")</f>
        <v>=IF(AND(D14="laptop",OR(E14="samsung",E14="Apple")),F14*10%,0)</v>
      </c>
      <c r="U14" s="57">
        <f t="shared" si="11"/>
        <v>9874</v>
      </c>
      <c r="V14" s="50" t="str">
        <f t="shared" ca="1" si="56"/>
        <v>=IFERROR(ROUND(IF(C14="Mumbai","-",F14*5%),0),"-")</v>
      </c>
      <c r="W14" s="35">
        <f t="shared" si="12"/>
        <v>0.03</v>
      </c>
      <c r="X14" s="50" t="str">
        <f t="shared" ref="X14:Z14" ca="1" si="57">IFERROR(_xlfn.FORMULATEXT(W14),"")</f>
        <v>=IF(F14&lt;=200000,3%,IF(F14&lt;=300000,4%,IF(F14&lt;=400000,5%,IF(F14&lt;=500000,6%,10%))))</v>
      </c>
      <c r="Y14" s="35" cm="1">
        <f t="array" ref="Y14">_xlfn.IFS(F14&lt;$AB$14,$AD$13,F14&lt;$AB$15,$AD$14,F14&lt;$AB$16,$AD$15,F14&lt;$AB$17,$AD$16,F14&gt;=$AB$17,$AD$17)</f>
        <v>0.03</v>
      </c>
      <c r="Z14" s="50" t="str">
        <f t="shared" ca="1" si="57"/>
        <v>=IFS(F14&lt;$AB$14,$AD$13,F14&lt;$AB$15,$AD$14,F14&lt;$AB$16,$AD$15,F14&lt;$AB$17,$AD$16,F14&gt;=$AB$17,$AD$17)</v>
      </c>
      <c r="AB14" s="58">
        <v>200001</v>
      </c>
      <c r="AC14" s="58">
        <v>300000</v>
      </c>
      <c r="AD14" s="15">
        <v>0.04</v>
      </c>
    </row>
    <row r="15" spans="1:37" ht="15" thickBot="1">
      <c r="A15" s="33" t="s">
        <v>187</v>
      </c>
      <c r="B15" s="34">
        <v>44294</v>
      </c>
      <c r="C15" s="33" t="s">
        <v>156</v>
      </c>
      <c r="D15" s="33" t="s">
        <v>157</v>
      </c>
      <c r="E15" s="33" t="s">
        <v>121</v>
      </c>
      <c r="F15" s="45">
        <v>273542</v>
      </c>
      <c r="G15" s="47" t="str">
        <f t="shared" si="0"/>
        <v>Commission</v>
      </c>
      <c r="H15" s="50" t="str">
        <f t="shared" ca="1" si="1"/>
        <v>=IF(F15&gt;200000,"Commission","No-Commission")</v>
      </c>
      <c r="I15" s="48">
        <f t="shared" si="2"/>
        <v>27354.2</v>
      </c>
      <c r="J15" s="50" t="str">
        <f t="shared" ca="1" si="1"/>
        <v>=IF(F15&gt;200000,10%*F15,0%)</v>
      </c>
      <c r="K15" s="35" t="str">
        <f t="shared" si="3"/>
        <v>-</v>
      </c>
      <c r="L15" s="50" t="str">
        <f t="shared" ref="L15:N15" ca="1" si="58">IFERROR(_xlfn.FORMULATEXT(K15),"")</f>
        <v>=IF(AND(D15="Laptop",E15="Apple"),10%,"-")</v>
      </c>
      <c r="M15" s="45" t="str">
        <f t="shared" si="5"/>
        <v>Commission</v>
      </c>
      <c r="N15" s="50" t="str">
        <f t="shared" ca="1" si="58"/>
        <v>=IF(OR(C15="Delhi",D15="Laptop"),"Commission","No-Commission")</v>
      </c>
      <c r="O15" s="45">
        <f t="shared" si="6"/>
        <v>0</v>
      </c>
      <c r="P15" s="50" t="str">
        <f t="shared" ref="P15:R15" ca="1" si="59">IFERROR(_xlfn.FORMULATEXT(O15),"")</f>
        <v>=IF(AND(D15="laptop",E15="apple"),F15*10%,0)</v>
      </c>
      <c r="Q15" s="45">
        <f t="shared" si="8"/>
        <v>27354.2</v>
      </c>
      <c r="R15" s="50" t="str">
        <f t="shared" ca="1" si="59"/>
        <v>=IF(OR(D15="laptop",C15="delhi"),F15*10%,0)</v>
      </c>
      <c r="S15" s="45">
        <f t="shared" si="9"/>
        <v>0</v>
      </c>
      <c r="T15" s="50" t="str">
        <f t="shared" ref="T15:V15" ca="1" si="60">IFERROR(_xlfn.FORMULATEXT(S15),"")</f>
        <v>=IF(AND(D15="laptop",OR(E15="samsung",E15="Apple")),F15*10%,0)</v>
      </c>
      <c r="U15" s="57">
        <f t="shared" si="11"/>
        <v>13677</v>
      </c>
      <c r="V15" s="50" t="str">
        <f t="shared" ca="1" si="60"/>
        <v>=IFERROR(ROUND(IF(C15="Mumbai","-",F15*5%),0),"-")</v>
      </c>
      <c r="W15" s="35">
        <f t="shared" si="12"/>
        <v>0.04</v>
      </c>
      <c r="X15" s="50" t="str">
        <f t="shared" ref="X15:Z15" ca="1" si="61">IFERROR(_xlfn.FORMULATEXT(W15),"")</f>
        <v>=IF(F15&lt;=200000,3%,IF(F15&lt;=300000,4%,IF(F15&lt;=400000,5%,IF(F15&lt;=500000,6%,10%))))</v>
      </c>
      <c r="Y15" s="35" cm="1">
        <f t="array" ref="Y15">_xlfn.IFS(F15&lt;$AB$14,$AD$13,F15&lt;$AB$15,$AD$14,F15&lt;$AB$16,$AD$15,F15&lt;$AB$17,$AD$16,F15&gt;=$AB$17,$AD$17)</f>
        <v>0.04</v>
      </c>
      <c r="Z15" s="50" t="str">
        <f t="shared" ca="1" si="61"/>
        <v>=IFS(F15&lt;$AB$14,$AD$13,F15&lt;$AB$15,$AD$14,F15&lt;$AB$16,$AD$15,F15&lt;$AB$17,$AD$16,F15&gt;=$AB$17,$AD$17)</v>
      </c>
      <c r="AB15" s="58">
        <v>300001</v>
      </c>
      <c r="AC15" s="58">
        <v>400000</v>
      </c>
      <c r="AD15" s="15">
        <v>0.05</v>
      </c>
    </row>
    <row r="16" spans="1:37" ht="15" thickBot="1">
      <c r="A16" s="33" t="s">
        <v>188</v>
      </c>
      <c r="B16" s="34">
        <v>44537</v>
      </c>
      <c r="C16" s="33" t="s">
        <v>179</v>
      </c>
      <c r="D16" s="33" t="s">
        <v>170</v>
      </c>
      <c r="E16" s="33" t="s">
        <v>158</v>
      </c>
      <c r="F16" s="45">
        <v>255290</v>
      </c>
      <c r="G16" s="47" t="str">
        <f t="shared" si="0"/>
        <v>Commission</v>
      </c>
      <c r="H16" s="50" t="str">
        <f t="shared" ca="1" si="1"/>
        <v>=IF(F16&gt;200000,"Commission","No-Commission")</v>
      </c>
      <c r="I16" s="48">
        <f t="shared" si="2"/>
        <v>25529</v>
      </c>
      <c r="J16" s="50" t="str">
        <f t="shared" ca="1" si="1"/>
        <v>=IF(F16&gt;200000,10%*F16,0%)</v>
      </c>
      <c r="K16" s="35" t="str">
        <f t="shared" si="3"/>
        <v>-</v>
      </c>
      <c r="L16" s="50" t="str">
        <f t="shared" ref="L16:N16" ca="1" si="62">IFERROR(_xlfn.FORMULATEXT(K16),"")</f>
        <v>=IF(AND(D16="Laptop",E16="Apple"),10%,"-")</v>
      </c>
      <c r="M16" s="45" t="str">
        <f t="shared" si="5"/>
        <v>No-Commission</v>
      </c>
      <c r="N16" s="50" t="str">
        <f t="shared" ca="1" si="62"/>
        <v>=IF(OR(C16="Delhi",D16="Laptop"),"Commission","No-Commission")</v>
      </c>
      <c r="O16" s="45">
        <f t="shared" si="6"/>
        <v>0</v>
      </c>
      <c r="P16" s="50" t="str">
        <f t="shared" ref="P16:R16" ca="1" si="63">IFERROR(_xlfn.FORMULATEXT(O16),"")</f>
        <v>=IF(AND(D16="laptop",E16="apple"),F16*10%,0)</v>
      </c>
      <c r="Q16" s="45">
        <f t="shared" si="8"/>
        <v>0</v>
      </c>
      <c r="R16" s="50" t="str">
        <f t="shared" ca="1" si="63"/>
        <v>=IF(OR(D16="laptop",C16="delhi"),F16*10%,0)</v>
      </c>
      <c r="S16" s="45">
        <f t="shared" si="9"/>
        <v>0</v>
      </c>
      <c r="T16" s="50" t="str">
        <f t="shared" ref="T16:V16" ca="1" si="64">IFERROR(_xlfn.FORMULATEXT(S16),"")</f>
        <v>=IF(AND(D16="laptop",OR(E16="samsung",E16="Apple")),F16*10%,0)</v>
      </c>
      <c r="U16" s="57">
        <f t="shared" si="11"/>
        <v>12765</v>
      </c>
      <c r="V16" s="50" t="str">
        <f t="shared" ca="1" si="64"/>
        <v>=IFERROR(ROUND(IF(C16="Mumbai","-",F16*5%),0),"-")</v>
      </c>
      <c r="W16" s="35">
        <f t="shared" si="12"/>
        <v>0.04</v>
      </c>
      <c r="X16" s="50" t="str">
        <f t="shared" ref="X16:Z16" ca="1" si="65">IFERROR(_xlfn.FORMULATEXT(W16),"")</f>
        <v>=IF(F16&lt;=200000,3%,IF(F16&lt;=300000,4%,IF(F16&lt;=400000,5%,IF(F16&lt;=500000,6%,10%))))</v>
      </c>
      <c r="Y16" s="35" cm="1">
        <f t="array" ref="Y16">_xlfn.IFS(F16&lt;$AB$14,$AD$13,F16&lt;$AB$15,$AD$14,F16&lt;$AB$16,$AD$15,F16&lt;$AB$17,$AD$16,F16&gt;=$AB$17,$AD$17)</f>
        <v>0.04</v>
      </c>
      <c r="Z16" s="50" t="str">
        <f t="shared" ca="1" si="65"/>
        <v>=IFS(F16&lt;$AB$14,$AD$13,F16&lt;$AB$15,$AD$14,F16&lt;$AB$16,$AD$15,F16&lt;$AB$17,$AD$16,F16&gt;=$AB$17,$AD$17)</v>
      </c>
      <c r="AB16" s="58">
        <v>400001</v>
      </c>
      <c r="AC16" s="58">
        <v>500000</v>
      </c>
      <c r="AD16" s="15">
        <v>0.06</v>
      </c>
    </row>
    <row r="17" spans="1:30" ht="15" thickBot="1">
      <c r="A17" s="33" t="s">
        <v>189</v>
      </c>
      <c r="B17" s="34">
        <v>44463</v>
      </c>
      <c r="C17" s="33" t="s">
        <v>179</v>
      </c>
      <c r="D17" s="33" t="s">
        <v>170</v>
      </c>
      <c r="E17" s="33" t="s">
        <v>158</v>
      </c>
      <c r="F17" s="45">
        <v>342143</v>
      </c>
      <c r="G17" s="47" t="str">
        <f t="shared" si="0"/>
        <v>Commission</v>
      </c>
      <c r="H17" s="50" t="str">
        <f t="shared" ca="1" si="1"/>
        <v>=IF(F17&gt;200000,"Commission","No-Commission")</v>
      </c>
      <c r="I17" s="48">
        <f t="shared" si="2"/>
        <v>34214.300000000003</v>
      </c>
      <c r="J17" s="50" t="str">
        <f t="shared" ca="1" si="1"/>
        <v>=IF(F17&gt;200000,10%*F17,0%)</v>
      </c>
      <c r="K17" s="35" t="str">
        <f t="shared" si="3"/>
        <v>-</v>
      </c>
      <c r="L17" s="50" t="str">
        <f t="shared" ref="L17:N17" ca="1" si="66">IFERROR(_xlfn.FORMULATEXT(K17),"")</f>
        <v>=IF(AND(D17="Laptop",E17="Apple"),10%,"-")</v>
      </c>
      <c r="M17" s="45" t="str">
        <f t="shared" si="5"/>
        <v>No-Commission</v>
      </c>
      <c r="N17" s="50" t="str">
        <f t="shared" ca="1" si="66"/>
        <v>=IF(OR(C17="Delhi",D17="Laptop"),"Commission","No-Commission")</v>
      </c>
      <c r="O17" s="45">
        <f t="shared" si="6"/>
        <v>0</v>
      </c>
      <c r="P17" s="50" t="str">
        <f t="shared" ref="P17:R17" ca="1" si="67">IFERROR(_xlfn.FORMULATEXT(O17),"")</f>
        <v>=IF(AND(D17="laptop",E17="apple"),F17*10%,0)</v>
      </c>
      <c r="Q17" s="45">
        <f t="shared" si="8"/>
        <v>0</v>
      </c>
      <c r="R17" s="50" t="str">
        <f t="shared" ca="1" si="67"/>
        <v>=IF(OR(D17="laptop",C17="delhi"),F17*10%,0)</v>
      </c>
      <c r="S17" s="45">
        <f t="shared" si="9"/>
        <v>0</v>
      </c>
      <c r="T17" s="50" t="str">
        <f t="shared" ref="T17:V17" ca="1" si="68">IFERROR(_xlfn.FORMULATEXT(S17),"")</f>
        <v>=IF(AND(D17="laptop",OR(E17="samsung",E17="Apple")),F17*10%,0)</v>
      </c>
      <c r="U17" s="57">
        <f t="shared" si="11"/>
        <v>17107</v>
      </c>
      <c r="V17" s="50" t="str">
        <f t="shared" ca="1" si="68"/>
        <v>=IFERROR(ROUND(IF(C17="Mumbai","-",F17*5%),0),"-")</v>
      </c>
      <c r="W17" s="35">
        <f t="shared" si="12"/>
        <v>0.05</v>
      </c>
      <c r="X17" s="50" t="str">
        <f t="shared" ref="X17:Z17" ca="1" si="69">IFERROR(_xlfn.FORMULATEXT(W17),"")</f>
        <v>=IF(F17&lt;=200000,3%,IF(F17&lt;=300000,4%,IF(F17&lt;=400000,5%,IF(F17&lt;=500000,6%,10%))))</v>
      </c>
      <c r="Y17" s="35" cm="1">
        <f t="array" ref="Y17">_xlfn.IFS(F17&lt;$AB$14,$AD$13,F17&lt;$AB$15,$AD$14,F17&lt;$AB$16,$AD$15,F17&lt;$AB$17,$AD$16,F17&gt;=$AB$17,$AD$17)</f>
        <v>0.05</v>
      </c>
      <c r="Z17" s="50" t="str">
        <f t="shared" ca="1" si="69"/>
        <v>=IFS(F17&lt;$AB$14,$AD$13,F17&lt;$AB$15,$AD$14,F17&lt;$AB$16,$AD$15,F17&lt;$AB$17,$AD$16,F17&gt;=$AB$17,$AD$17)</v>
      </c>
      <c r="AB17" s="58">
        <v>500001</v>
      </c>
      <c r="AC17" s="58" t="s">
        <v>190</v>
      </c>
      <c r="AD17" s="15">
        <v>0.1</v>
      </c>
    </row>
    <row r="18" spans="1:30" ht="15" thickBot="1">
      <c r="A18" s="33" t="s">
        <v>191</v>
      </c>
      <c r="B18" s="34">
        <v>44408</v>
      </c>
      <c r="C18" s="33" t="s">
        <v>179</v>
      </c>
      <c r="D18" s="33" t="s">
        <v>170</v>
      </c>
      <c r="E18" s="33" t="s">
        <v>158</v>
      </c>
      <c r="F18" s="45">
        <v>177269</v>
      </c>
      <c r="G18" s="47" t="str">
        <f t="shared" si="0"/>
        <v>No-Commission</v>
      </c>
      <c r="H18" s="50" t="str">
        <f t="shared" ca="1" si="1"/>
        <v>=IF(F18&gt;200000,"Commission","No-Commission")</v>
      </c>
      <c r="I18" s="48">
        <f t="shared" si="2"/>
        <v>0</v>
      </c>
      <c r="J18" s="50" t="str">
        <f t="shared" ca="1" si="1"/>
        <v>=IF(F18&gt;200000,10%*F18,0%)</v>
      </c>
      <c r="K18" s="35" t="str">
        <f t="shared" si="3"/>
        <v>-</v>
      </c>
      <c r="L18" s="50" t="str">
        <f t="shared" ref="L18:N18" ca="1" si="70">IFERROR(_xlfn.FORMULATEXT(K18),"")</f>
        <v>=IF(AND(D18="Laptop",E18="Apple"),10%,"-")</v>
      </c>
      <c r="M18" s="45" t="str">
        <f t="shared" si="5"/>
        <v>No-Commission</v>
      </c>
      <c r="N18" s="50" t="str">
        <f t="shared" ca="1" si="70"/>
        <v>=IF(OR(C18="Delhi",D18="Laptop"),"Commission","No-Commission")</v>
      </c>
      <c r="O18" s="45">
        <f t="shared" si="6"/>
        <v>0</v>
      </c>
      <c r="P18" s="50" t="str">
        <f t="shared" ref="P18:R18" ca="1" si="71">IFERROR(_xlfn.FORMULATEXT(O18),"")</f>
        <v>=IF(AND(D18="laptop",E18="apple"),F18*10%,0)</v>
      </c>
      <c r="Q18" s="45">
        <f t="shared" si="8"/>
        <v>0</v>
      </c>
      <c r="R18" s="50" t="str">
        <f t="shared" ca="1" si="71"/>
        <v>=IF(OR(D18="laptop",C18="delhi"),F18*10%,0)</v>
      </c>
      <c r="S18" s="45">
        <f t="shared" si="9"/>
        <v>0</v>
      </c>
      <c r="T18" s="50" t="str">
        <f t="shared" ref="T18:V18" ca="1" si="72">IFERROR(_xlfn.FORMULATEXT(S18),"")</f>
        <v>=IF(AND(D18="laptop",OR(E18="samsung",E18="Apple")),F18*10%,0)</v>
      </c>
      <c r="U18" s="57">
        <f t="shared" si="11"/>
        <v>8863</v>
      </c>
      <c r="V18" s="50" t="str">
        <f t="shared" ca="1" si="72"/>
        <v>=IFERROR(ROUND(IF(C18="Mumbai","-",F18*5%),0),"-")</v>
      </c>
      <c r="W18" s="35">
        <f t="shared" si="12"/>
        <v>0.03</v>
      </c>
      <c r="X18" s="50" t="str">
        <f t="shared" ref="X18:Z18" ca="1" si="73">IFERROR(_xlfn.FORMULATEXT(W18),"")</f>
        <v>=IF(F18&lt;=200000,3%,IF(F18&lt;=300000,4%,IF(F18&lt;=400000,5%,IF(F18&lt;=500000,6%,10%))))</v>
      </c>
      <c r="Y18" s="35" cm="1">
        <f t="array" ref="Y18">_xlfn.IFS(F18&lt;$AB$14,$AD$13,F18&lt;$AB$15,$AD$14,F18&lt;$AB$16,$AD$15,F18&lt;$AB$17,$AD$16,F18&gt;=$AB$17,$AD$17)</f>
        <v>0.03</v>
      </c>
      <c r="Z18" s="50" t="str">
        <f t="shared" ca="1" si="73"/>
        <v>=IFS(F18&lt;$AB$14,$AD$13,F18&lt;$AB$15,$AD$14,F18&lt;$AB$16,$AD$15,F18&lt;$AB$17,$AD$16,F18&gt;=$AB$17,$AD$17)</v>
      </c>
    </row>
    <row r="19" spans="1:30" ht="15" thickBot="1">
      <c r="A19" s="33" t="s">
        <v>192</v>
      </c>
      <c r="B19" s="34">
        <v>44371</v>
      </c>
      <c r="C19" s="33" t="s">
        <v>179</v>
      </c>
      <c r="D19" s="33" t="s">
        <v>157</v>
      </c>
      <c r="E19" s="33" t="s">
        <v>163</v>
      </c>
      <c r="F19" s="45">
        <v>162179</v>
      </c>
      <c r="G19" s="47" t="str">
        <f t="shared" si="0"/>
        <v>No-Commission</v>
      </c>
      <c r="H19" s="50" t="str">
        <f t="shared" ca="1" si="1"/>
        <v>=IF(F19&gt;200000,"Commission","No-Commission")</v>
      </c>
      <c r="I19" s="48">
        <f t="shared" si="2"/>
        <v>0</v>
      </c>
      <c r="J19" s="50" t="str">
        <f t="shared" ca="1" si="1"/>
        <v>=IF(F19&gt;200000,10%*F19,0%)</v>
      </c>
      <c r="K19" s="35" t="str">
        <f t="shared" si="3"/>
        <v>-</v>
      </c>
      <c r="L19" s="50" t="str">
        <f t="shared" ref="L19:N19" ca="1" si="74">IFERROR(_xlfn.FORMULATEXT(K19),"")</f>
        <v>=IF(AND(D19="Laptop",E19="Apple"),10%,"-")</v>
      </c>
      <c r="M19" s="45" t="str">
        <f t="shared" si="5"/>
        <v>Commission</v>
      </c>
      <c r="N19" s="50" t="str">
        <f t="shared" ca="1" si="74"/>
        <v>=IF(OR(C19="Delhi",D19="Laptop"),"Commission","No-Commission")</v>
      </c>
      <c r="O19" s="45">
        <f t="shared" si="6"/>
        <v>0</v>
      </c>
      <c r="P19" s="50" t="str">
        <f t="shared" ref="P19:R19" ca="1" si="75">IFERROR(_xlfn.FORMULATEXT(O19),"")</f>
        <v>=IF(AND(D19="laptop",E19="apple"),F19*10%,0)</v>
      </c>
      <c r="Q19" s="45">
        <f t="shared" si="8"/>
        <v>16217.900000000001</v>
      </c>
      <c r="R19" s="50" t="str">
        <f t="shared" ca="1" si="75"/>
        <v>=IF(OR(D19="laptop",C19="delhi"),F19*10%,0)</v>
      </c>
      <c r="S19" s="45">
        <f t="shared" si="9"/>
        <v>16217.900000000001</v>
      </c>
      <c r="T19" s="50" t="str">
        <f t="shared" ref="T19:V19" ca="1" si="76">IFERROR(_xlfn.FORMULATEXT(S19),"")</f>
        <v>=IF(AND(D19="laptop",OR(E19="samsung",E19="Apple")),F19*10%,0)</v>
      </c>
      <c r="U19" s="57">
        <f t="shared" si="11"/>
        <v>8109</v>
      </c>
      <c r="V19" s="50" t="str">
        <f t="shared" ca="1" si="76"/>
        <v>=IFERROR(ROUND(IF(C19="Mumbai","-",F19*5%),0),"-")</v>
      </c>
      <c r="W19" s="35">
        <f t="shared" si="12"/>
        <v>0.03</v>
      </c>
      <c r="X19" s="50" t="str">
        <f t="shared" ref="X19:Z19" ca="1" si="77">IFERROR(_xlfn.FORMULATEXT(W19),"")</f>
        <v>=IF(F19&lt;=200000,3%,IF(F19&lt;=300000,4%,IF(F19&lt;=400000,5%,IF(F19&lt;=500000,6%,10%))))</v>
      </c>
      <c r="Y19" s="35" cm="1">
        <f t="array" ref="Y19">_xlfn.IFS(F19&lt;$AB$14,$AD$13,F19&lt;$AB$15,$AD$14,F19&lt;$AB$16,$AD$15,F19&lt;$AB$17,$AD$16,F19&gt;=$AB$17,$AD$17)</f>
        <v>0.03</v>
      </c>
      <c r="Z19" s="50" t="str">
        <f t="shared" ca="1" si="77"/>
        <v>=IFS(F19&lt;$AB$14,$AD$13,F19&lt;$AB$15,$AD$14,F19&lt;$AB$16,$AD$15,F19&lt;$AB$17,$AD$16,F19&gt;=$AB$17,$AD$17)</v>
      </c>
    </row>
    <row r="20" spans="1:30" ht="15" thickBot="1">
      <c r="A20" s="33" t="s">
        <v>193</v>
      </c>
      <c r="B20" s="34">
        <v>44330</v>
      </c>
      <c r="C20" s="33" t="s">
        <v>179</v>
      </c>
      <c r="D20" s="33" t="s">
        <v>162</v>
      </c>
      <c r="E20" s="33" t="s">
        <v>121</v>
      </c>
      <c r="F20" s="45">
        <v>260557</v>
      </c>
      <c r="G20" s="47" t="str">
        <f t="shared" si="0"/>
        <v>Commission</v>
      </c>
      <c r="H20" s="50" t="str">
        <f t="shared" ca="1" si="1"/>
        <v>=IF(F20&gt;200000,"Commission","No-Commission")</v>
      </c>
      <c r="I20" s="48">
        <f t="shared" si="2"/>
        <v>26055.7</v>
      </c>
      <c r="J20" s="50" t="str">
        <f t="shared" ca="1" si="1"/>
        <v>=IF(F20&gt;200000,10%*F20,0%)</v>
      </c>
      <c r="K20" s="35" t="str">
        <f t="shared" si="3"/>
        <v>-</v>
      </c>
      <c r="L20" s="50" t="str">
        <f t="shared" ref="L20:N20" ca="1" si="78">IFERROR(_xlfn.FORMULATEXT(K20),"")</f>
        <v>=IF(AND(D20="Laptop",E20="Apple"),10%,"-")</v>
      </c>
      <c r="M20" s="45" t="str">
        <f t="shared" si="5"/>
        <v>No-Commission</v>
      </c>
      <c r="N20" s="50" t="str">
        <f t="shared" ca="1" si="78"/>
        <v>=IF(OR(C20="Delhi",D20="Laptop"),"Commission","No-Commission")</v>
      </c>
      <c r="O20" s="45">
        <f t="shared" si="6"/>
        <v>0</v>
      </c>
      <c r="P20" s="50" t="str">
        <f t="shared" ref="P20:R20" ca="1" si="79">IFERROR(_xlfn.FORMULATEXT(O20),"")</f>
        <v>=IF(AND(D20="laptop",E20="apple"),F20*10%,0)</v>
      </c>
      <c r="Q20" s="45">
        <f t="shared" si="8"/>
        <v>0</v>
      </c>
      <c r="R20" s="50" t="str">
        <f t="shared" ca="1" si="79"/>
        <v>=IF(OR(D20="laptop",C20="delhi"),F20*10%,0)</v>
      </c>
      <c r="S20" s="45">
        <f t="shared" si="9"/>
        <v>0</v>
      </c>
      <c r="T20" s="50" t="str">
        <f t="shared" ref="T20:V20" ca="1" si="80">IFERROR(_xlfn.FORMULATEXT(S20),"")</f>
        <v>=IF(AND(D20="laptop",OR(E20="samsung",E20="Apple")),F20*10%,0)</v>
      </c>
      <c r="U20" s="57">
        <f t="shared" si="11"/>
        <v>13028</v>
      </c>
      <c r="V20" s="50" t="str">
        <f t="shared" ca="1" si="80"/>
        <v>=IFERROR(ROUND(IF(C20="Mumbai","-",F20*5%),0),"-")</v>
      </c>
      <c r="W20" s="35">
        <f t="shared" si="12"/>
        <v>0.04</v>
      </c>
      <c r="X20" s="50" t="str">
        <f t="shared" ref="X20:Z20" ca="1" si="81">IFERROR(_xlfn.FORMULATEXT(W20),"")</f>
        <v>=IF(F20&lt;=200000,3%,IF(F20&lt;=300000,4%,IF(F20&lt;=400000,5%,IF(F20&lt;=500000,6%,10%))))</v>
      </c>
      <c r="Y20" s="35" cm="1">
        <f t="array" ref="Y20">_xlfn.IFS(F20&lt;$AB$14,$AD$13,F20&lt;$AB$15,$AD$14,F20&lt;$AB$16,$AD$15,F20&lt;$AB$17,$AD$16,F20&gt;=$AB$17,$AD$17)</f>
        <v>0.04</v>
      </c>
      <c r="Z20" s="50" t="str">
        <f t="shared" ca="1" si="81"/>
        <v>=IFS(F20&lt;$AB$14,$AD$13,F20&lt;$AB$15,$AD$14,F20&lt;$AB$16,$AD$15,F20&lt;$AB$17,$AD$16,F20&gt;=$AB$17,$AD$17)</v>
      </c>
    </row>
    <row r="21" spans="1:30" ht="15" thickBot="1">
      <c r="A21" s="33" t="s">
        <v>194</v>
      </c>
      <c r="B21" s="34">
        <v>44340</v>
      </c>
      <c r="C21" s="33" t="s">
        <v>161</v>
      </c>
      <c r="D21" s="33" t="s">
        <v>157</v>
      </c>
      <c r="E21" s="33" t="s">
        <v>121</v>
      </c>
      <c r="F21" s="45">
        <v>191997</v>
      </c>
      <c r="G21" s="47" t="str">
        <f t="shared" si="0"/>
        <v>No-Commission</v>
      </c>
      <c r="H21" s="50" t="str">
        <f t="shared" ca="1" si="1"/>
        <v>=IF(F21&gt;200000,"Commission","No-Commission")</v>
      </c>
      <c r="I21" s="48">
        <f t="shared" si="2"/>
        <v>0</v>
      </c>
      <c r="J21" s="50" t="str">
        <f t="shared" ca="1" si="1"/>
        <v>=IF(F21&gt;200000,10%*F21,0%)</v>
      </c>
      <c r="K21" s="35" t="str">
        <f t="shared" si="3"/>
        <v>-</v>
      </c>
      <c r="L21" s="50" t="str">
        <f t="shared" ref="L21:N21" ca="1" si="82">IFERROR(_xlfn.FORMULATEXT(K21),"")</f>
        <v>=IF(AND(D21="Laptop",E21="Apple"),10%,"-")</v>
      </c>
      <c r="M21" s="45" t="str">
        <f t="shared" si="5"/>
        <v>Commission</v>
      </c>
      <c r="N21" s="50" t="str">
        <f t="shared" ca="1" si="82"/>
        <v>=IF(OR(C21="Delhi",D21="Laptop"),"Commission","No-Commission")</v>
      </c>
      <c r="O21" s="45">
        <f t="shared" si="6"/>
        <v>0</v>
      </c>
      <c r="P21" s="50" t="str">
        <f t="shared" ref="P21:R21" ca="1" si="83">IFERROR(_xlfn.FORMULATEXT(O21),"")</f>
        <v>=IF(AND(D21="laptop",E21="apple"),F21*10%,0)</v>
      </c>
      <c r="Q21" s="45">
        <f t="shared" si="8"/>
        <v>19199.7</v>
      </c>
      <c r="R21" s="50" t="str">
        <f t="shared" ca="1" si="83"/>
        <v>=IF(OR(D21="laptop",C21="delhi"),F21*10%,0)</v>
      </c>
      <c r="S21" s="45">
        <f t="shared" si="9"/>
        <v>0</v>
      </c>
      <c r="T21" s="50" t="str">
        <f t="shared" ref="T21:V21" ca="1" si="84">IFERROR(_xlfn.FORMULATEXT(S21),"")</f>
        <v>=IF(AND(D21="laptop",OR(E21="samsung",E21="Apple")),F21*10%,0)</v>
      </c>
      <c r="U21" s="57" t="str">
        <f t="shared" si="11"/>
        <v>-</v>
      </c>
      <c r="V21" s="50" t="str">
        <f t="shared" ca="1" si="84"/>
        <v>=IFERROR(ROUND(IF(C21="Mumbai","-",F21*5%),0),"-")</v>
      </c>
      <c r="W21" s="35">
        <f t="shared" si="12"/>
        <v>0.03</v>
      </c>
      <c r="X21" s="50" t="str">
        <f t="shared" ref="X21:Z21" ca="1" si="85">IFERROR(_xlfn.FORMULATEXT(W21),"")</f>
        <v>=IF(F21&lt;=200000,3%,IF(F21&lt;=300000,4%,IF(F21&lt;=400000,5%,IF(F21&lt;=500000,6%,10%))))</v>
      </c>
      <c r="Y21" s="35" cm="1">
        <f t="array" ref="Y21">_xlfn.IFS(F21&lt;$AB$14,$AD$13,F21&lt;$AB$15,$AD$14,F21&lt;$AB$16,$AD$15,F21&lt;$AB$17,$AD$16,F21&gt;=$AB$17,$AD$17)</f>
        <v>0.03</v>
      </c>
      <c r="Z21" s="50" t="str">
        <f t="shared" ca="1" si="85"/>
        <v>=IFS(F21&lt;$AB$14,$AD$13,F21&lt;$AB$15,$AD$14,F21&lt;$AB$16,$AD$15,F21&lt;$AB$17,$AD$16,F21&gt;=$AB$17,$AD$17)</v>
      </c>
    </row>
    <row r="22" spans="1:30" ht="15" thickBot="1">
      <c r="A22" s="33" t="s">
        <v>195</v>
      </c>
      <c r="B22" s="34">
        <v>44522</v>
      </c>
      <c r="C22" s="33" t="s">
        <v>161</v>
      </c>
      <c r="D22" s="33" t="s">
        <v>162</v>
      </c>
      <c r="E22" s="33" t="s">
        <v>163</v>
      </c>
      <c r="F22" s="45">
        <v>340531</v>
      </c>
      <c r="G22" s="47" t="str">
        <f t="shared" si="0"/>
        <v>Commission</v>
      </c>
      <c r="H22" s="50" t="str">
        <f t="shared" ca="1" si="1"/>
        <v>=IF(F22&gt;200000,"Commission","No-Commission")</v>
      </c>
      <c r="I22" s="48">
        <f t="shared" si="2"/>
        <v>34053.1</v>
      </c>
      <c r="J22" s="50" t="str">
        <f t="shared" ca="1" si="1"/>
        <v>=IF(F22&gt;200000,10%*F22,0%)</v>
      </c>
      <c r="K22" s="35" t="str">
        <f t="shared" si="3"/>
        <v>-</v>
      </c>
      <c r="L22" s="50" t="str">
        <f t="shared" ref="L22:N22" ca="1" si="86">IFERROR(_xlfn.FORMULATEXT(K22),"")</f>
        <v>=IF(AND(D22="Laptop",E22="Apple"),10%,"-")</v>
      </c>
      <c r="M22" s="45" t="str">
        <f t="shared" si="5"/>
        <v>No-Commission</v>
      </c>
      <c r="N22" s="50" t="str">
        <f t="shared" ca="1" si="86"/>
        <v>=IF(OR(C22="Delhi",D22="Laptop"),"Commission","No-Commission")</v>
      </c>
      <c r="O22" s="45">
        <f t="shared" si="6"/>
        <v>0</v>
      </c>
      <c r="P22" s="50" t="str">
        <f t="shared" ref="P22:R22" ca="1" si="87">IFERROR(_xlfn.FORMULATEXT(O22),"")</f>
        <v>=IF(AND(D22="laptop",E22="apple"),F22*10%,0)</v>
      </c>
      <c r="Q22" s="45">
        <f t="shared" si="8"/>
        <v>0</v>
      </c>
      <c r="R22" s="50" t="str">
        <f t="shared" ca="1" si="87"/>
        <v>=IF(OR(D22="laptop",C22="delhi"),F22*10%,0)</v>
      </c>
      <c r="S22" s="45">
        <f t="shared" si="9"/>
        <v>0</v>
      </c>
      <c r="T22" s="50" t="str">
        <f t="shared" ref="T22:V22" ca="1" si="88">IFERROR(_xlfn.FORMULATEXT(S22),"")</f>
        <v>=IF(AND(D22="laptop",OR(E22="samsung",E22="Apple")),F22*10%,0)</v>
      </c>
      <c r="U22" s="57" t="str">
        <f t="shared" si="11"/>
        <v>-</v>
      </c>
      <c r="V22" s="50" t="str">
        <f t="shared" ca="1" si="88"/>
        <v>=IFERROR(ROUND(IF(C22="Mumbai","-",F22*5%),0),"-")</v>
      </c>
      <c r="W22" s="35">
        <f t="shared" si="12"/>
        <v>0.05</v>
      </c>
      <c r="X22" s="50" t="str">
        <f t="shared" ref="X22:Z22" ca="1" si="89">IFERROR(_xlfn.FORMULATEXT(W22),"")</f>
        <v>=IF(F22&lt;=200000,3%,IF(F22&lt;=300000,4%,IF(F22&lt;=400000,5%,IF(F22&lt;=500000,6%,10%))))</v>
      </c>
      <c r="Y22" s="35" cm="1">
        <f t="array" ref="Y22">_xlfn.IFS(F22&lt;$AB$14,$AD$13,F22&lt;$AB$15,$AD$14,F22&lt;$AB$16,$AD$15,F22&lt;$AB$17,$AD$16,F22&gt;=$AB$17,$AD$17)</f>
        <v>0.05</v>
      </c>
      <c r="Z22" s="50" t="str">
        <f t="shared" ca="1" si="89"/>
        <v>=IFS(F22&lt;$AB$14,$AD$13,F22&lt;$AB$15,$AD$14,F22&lt;$AB$16,$AD$15,F22&lt;$AB$17,$AD$16,F22&gt;=$AB$17,$AD$17)</v>
      </c>
    </row>
    <row r="23" spans="1:30" ht="15" thickBot="1">
      <c r="A23" s="33" t="s">
        <v>196</v>
      </c>
      <c r="B23" s="34">
        <v>44559</v>
      </c>
      <c r="C23" s="33" t="s">
        <v>197</v>
      </c>
      <c r="D23" s="33" t="s">
        <v>157</v>
      </c>
      <c r="E23" s="33" t="s">
        <v>158</v>
      </c>
      <c r="F23" s="45">
        <v>446852</v>
      </c>
      <c r="G23" s="47" t="str">
        <f t="shared" si="0"/>
        <v>Commission</v>
      </c>
      <c r="H23" s="50" t="str">
        <f t="shared" ca="1" si="1"/>
        <v>=IF(F23&gt;200000,"Commission","No-Commission")</v>
      </c>
      <c r="I23" s="48">
        <f t="shared" si="2"/>
        <v>44685.200000000004</v>
      </c>
      <c r="J23" s="50" t="str">
        <f t="shared" ca="1" si="1"/>
        <v>=IF(F23&gt;200000,10%*F23,0%)</v>
      </c>
      <c r="K23" s="35">
        <f t="shared" si="3"/>
        <v>0.1</v>
      </c>
      <c r="L23" s="50" t="str">
        <f t="shared" ref="L23:N23" ca="1" si="90">IFERROR(_xlfn.FORMULATEXT(K23),"")</f>
        <v>=IF(AND(D23="Laptop",E23="Apple"),10%,"-")</v>
      </c>
      <c r="M23" s="45" t="str">
        <f t="shared" si="5"/>
        <v>Commission</v>
      </c>
      <c r="N23" s="50" t="str">
        <f t="shared" ca="1" si="90"/>
        <v>=IF(OR(C23="Delhi",D23="Laptop"),"Commission","No-Commission")</v>
      </c>
      <c r="O23" s="45">
        <f t="shared" si="6"/>
        <v>44685.200000000004</v>
      </c>
      <c r="P23" s="50" t="str">
        <f t="shared" ref="P23:R23" ca="1" si="91">IFERROR(_xlfn.FORMULATEXT(O23),"")</f>
        <v>=IF(AND(D23="laptop",E23="apple"),F23*10%,0)</v>
      </c>
      <c r="Q23" s="45">
        <f t="shared" si="8"/>
        <v>44685.200000000004</v>
      </c>
      <c r="R23" s="50" t="str">
        <f t="shared" ca="1" si="91"/>
        <v>=IF(OR(D23="laptop",C23="delhi"),F23*10%,0)</v>
      </c>
      <c r="S23" s="45">
        <f t="shared" si="9"/>
        <v>44685.200000000004</v>
      </c>
      <c r="T23" s="50" t="str">
        <f t="shared" ref="T23:V23" ca="1" si="92">IFERROR(_xlfn.FORMULATEXT(S23),"")</f>
        <v>=IF(AND(D23="laptop",OR(E23="samsung",E23="Apple")),F23*10%,0)</v>
      </c>
      <c r="U23" s="57">
        <f t="shared" si="11"/>
        <v>22343</v>
      </c>
      <c r="V23" s="50" t="str">
        <f t="shared" ca="1" si="92"/>
        <v>=IFERROR(ROUND(IF(C23="Mumbai","-",F23*5%),0),"-")</v>
      </c>
      <c r="W23" s="35">
        <f t="shared" si="12"/>
        <v>0.06</v>
      </c>
      <c r="X23" s="50" t="str">
        <f t="shared" ref="X23:Z23" ca="1" si="93">IFERROR(_xlfn.FORMULATEXT(W23),"")</f>
        <v>=IF(F23&lt;=200000,3%,IF(F23&lt;=300000,4%,IF(F23&lt;=400000,5%,IF(F23&lt;=500000,6%,10%))))</v>
      </c>
      <c r="Y23" s="35" cm="1">
        <f t="array" ref="Y23">_xlfn.IFS(F23&lt;$AB$14,$AD$13,F23&lt;$AB$15,$AD$14,F23&lt;$AB$16,$AD$15,F23&lt;$AB$17,$AD$16,F23&gt;=$AB$17,$AD$17)</f>
        <v>0.06</v>
      </c>
      <c r="Z23" s="50" t="str">
        <f t="shared" ca="1" si="93"/>
        <v>=IFS(F23&lt;$AB$14,$AD$13,F23&lt;$AB$15,$AD$14,F23&lt;$AB$16,$AD$15,F23&lt;$AB$17,$AD$16,F23&gt;=$AB$17,$AD$17)</v>
      </c>
    </row>
    <row r="24" spans="1:30" ht="15" thickBot="1">
      <c r="A24" s="33" t="s">
        <v>198</v>
      </c>
      <c r="B24" s="34">
        <v>44312</v>
      </c>
      <c r="C24" s="33" t="s">
        <v>199</v>
      </c>
      <c r="D24" s="33" t="s">
        <v>162</v>
      </c>
      <c r="E24" s="33" t="s">
        <v>163</v>
      </c>
      <c r="F24" s="45">
        <v>136867</v>
      </c>
      <c r="G24" s="47" t="str">
        <f t="shared" si="0"/>
        <v>No-Commission</v>
      </c>
      <c r="H24" s="50" t="str">
        <f t="shared" ca="1" si="1"/>
        <v>=IF(F24&gt;200000,"Commission","No-Commission")</v>
      </c>
      <c r="I24" s="48">
        <f t="shared" si="2"/>
        <v>0</v>
      </c>
      <c r="J24" s="50" t="str">
        <f t="shared" ca="1" si="1"/>
        <v>=IF(F24&gt;200000,10%*F24,0%)</v>
      </c>
      <c r="K24" s="35" t="str">
        <f t="shared" si="3"/>
        <v>-</v>
      </c>
      <c r="L24" s="50" t="str">
        <f t="shared" ref="L24:N24" ca="1" si="94">IFERROR(_xlfn.FORMULATEXT(K24),"")</f>
        <v>=IF(AND(D24="Laptop",E24="Apple"),10%,"-")</v>
      </c>
      <c r="M24" s="45" t="str">
        <f t="shared" si="5"/>
        <v>No-Commission</v>
      </c>
      <c r="N24" s="50" t="str">
        <f t="shared" ca="1" si="94"/>
        <v>=IF(OR(C24="Delhi",D24="Laptop"),"Commission","No-Commission")</v>
      </c>
      <c r="O24" s="45">
        <f t="shared" si="6"/>
        <v>0</v>
      </c>
      <c r="P24" s="50" t="str">
        <f t="shared" ref="P24:R24" ca="1" si="95">IFERROR(_xlfn.FORMULATEXT(O24),"")</f>
        <v>=IF(AND(D24="laptop",E24="apple"),F24*10%,0)</v>
      </c>
      <c r="Q24" s="45">
        <f t="shared" si="8"/>
        <v>0</v>
      </c>
      <c r="R24" s="50" t="str">
        <f t="shared" ca="1" si="95"/>
        <v>=IF(OR(D24="laptop",C24="delhi"),F24*10%,0)</v>
      </c>
      <c r="S24" s="45">
        <f t="shared" si="9"/>
        <v>0</v>
      </c>
      <c r="T24" s="50" t="str">
        <f t="shared" ref="T24:V24" ca="1" si="96">IFERROR(_xlfn.FORMULATEXT(S24),"")</f>
        <v>=IF(AND(D24="laptop",OR(E24="samsung",E24="Apple")),F24*10%,0)</v>
      </c>
      <c r="U24" s="57">
        <f t="shared" si="11"/>
        <v>6843</v>
      </c>
      <c r="V24" s="50" t="str">
        <f t="shared" ca="1" si="96"/>
        <v>=IFERROR(ROUND(IF(C24="Mumbai","-",F24*5%),0),"-")</v>
      </c>
      <c r="W24" s="35">
        <f t="shared" si="12"/>
        <v>0.03</v>
      </c>
      <c r="X24" s="50" t="str">
        <f t="shared" ref="X24:Z24" ca="1" si="97">IFERROR(_xlfn.FORMULATEXT(W24),"")</f>
        <v>=IF(F24&lt;=200000,3%,IF(F24&lt;=300000,4%,IF(F24&lt;=400000,5%,IF(F24&lt;=500000,6%,10%))))</v>
      </c>
      <c r="Y24" s="35" cm="1">
        <f t="array" ref="Y24">_xlfn.IFS(F24&lt;$AB$14,$AD$13,F24&lt;$AB$15,$AD$14,F24&lt;$AB$16,$AD$15,F24&lt;$AB$17,$AD$16,F24&gt;=$AB$17,$AD$17)</f>
        <v>0.03</v>
      </c>
      <c r="Z24" s="50" t="str">
        <f t="shared" ca="1" si="97"/>
        <v>=IFS(F24&lt;$AB$14,$AD$13,F24&lt;$AB$15,$AD$14,F24&lt;$AB$16,$AD$15,F24&lt;$AB$17,$AD$16,F24&gt;=$AB$17,$AD$17)</v>
      </c>
    </row>
    <row r="25" spans="1:30" ht="15" thickBot="1">
      <c r="A25" s="33" t="s">
        <v>200</v>
      </c>
      <c r="B25" s="34">
        <v>44314</v>
      </c>
      <c r="C25" s="33" t="s">
        <v>197</v>
      </c>
      <c r="D25" s="33" t="s">
        <v>157</v>
      </c>
      <c r="E25" s="33" t="s">
        <v>158</v>
      </c>
      <c r="F25" s="45">
        <v>516616</v>
      </c>
      <c r="G25" s="47" t="str">
        <f t="shared" si="0"/>
        <v>Commission</v>
      </c>
      <c r="H25" s="50" t="str">
        <f t="shared" ca="1" si="1"/>
        <v>=IF(F25&gt;200000,"Commission","No-Commission")</v>
      </c>
      <c r="I25" s="48">
        <f t="shared" si="2"/>
        <v>51661.600000000006</v>
      </c>
      <c r="J25" s="50" t="str">
        <f t="shared" ca="1" si="1"/>
        <v>=IF(F25&gt;200000,10%*F25,0%)</v>
      </c>
      <c r="K25" s="35">
        <f t="shared" si="3"/>
        <v>0.1</v>
      </c>
      <c r="L25" s="50" t="str">
        <f t="shared" ref="L25:N25" ca="1" si="98">IFERROR(_xlfn.FORMULATEXT(K25),"")</f>
        <v>=IF(AND(D25="Laptop",E25="Apple"),10%,"-")</v>
      </c>
      <c r="M25" s="45" t="str">
        <f t="shared" si="5"/>
        <v>Commission</v>
      </c>
      <c r="N25" s="50" t="str">
        <f t="shared" ca="1" si="98"/>
        <v>=IF(OR(C25="Delhi",D25="Laptop"),"Commission","No-Commission")</v>
      </c>
      <c r="O25" s="45">
        <f t="shared" si="6"/>
        <v>51661.600000000006</v>
      </c>
      <c r="P25" s="50" t="str">
        <f t="shared" ref="P25:R25" ca="1" si="99">IFERROR(_xlfn.FORMULATEXT(O25),"")</f>
        <v>=IF(AND(D25="laptop",E25="apple"),F25*10%,0)</v>
      </c>
      <c r="Q25" s="45">
        <f t="shared" si="8"/>
        <v>51661.600000000006</v>
      </c>
      <c r="R25" s="50" t="str">
        <f t="shared" ca="1" si="99"/>
        <v>=IF(OR(D25="laptop",C25="delhi"),F25*10%,0)</v>
      </c>
      <c r="S25" s="45">
        <f t="shared" si="9"/>
        <v>51661.600000000006</v>
      </c>
      <c r="T25" s="50" t="str">
        <f t="shared" ref="T25:V25" ca="1" si="100">IFERROR(_xlfn.FORMULATEXT(S25),"")</f>
        <v>=IF(AND(D25="laptop",OR(E25="samsung",E25="Apple")),F25*10%,0)</v>
      </c>
      <c r="U25" s="57">
        <f t="shared" si="11"/>
        <v>25831</v>
      </c>
      <c r="V25" s="50" t="str">
        <f t="shared" ca="1" si="100"/>
        <v>=IFERROR(ROUND(IF(C25="Mumbai","-",F25*5%),0),"-")</v>
      </c>
      <c r="W25" s="35">
        <f t="shared" si="12"/>
        <v>0.1</v>
      </c>
      <c r="X25" s="50" t="str">
        <f t="shared" ref="X25:Z25" ca="1" si="101">IFERROR(_xlfn.FORMULATEXT(W25),"")</f>
        <v>=IF(F25&lt;=200000,3%,IF(F25&lt;=300000,4%,IF(F25&lt;=400000,5%,IF(F25&lt;=500000,6%,10%))))</v>
      </c>
      <c r="Y25" s="35" cm="1">
        <f t="array" ref="Y25">_xlfn.IFS(F25&lt;$AB$14,$AD$13,F25&lt;$AB$15,$AD$14,F25&lt;$AB$16,$AD$15,F25&lt;$AB$17,$AD$16,F25&gt;=$AB$17,$AD$17)</f>
        <v>0.1</v>
      </c>
      <c r="Z25" s="50" t="str">
        <f t="shared" ca="1" si="101"/>
        <v>=IFS(F25&lt;$AB$14,$AD$13,F25&lt;$AB$15,$AD$14,F25&lt;$AB$16,$AD$15,F25&lt;$AB$17,$AD$16,F25&gt;=$AB$17,$AD$17)</v>
      </c>
    </row>
    <row r="26" spans="1:30" ht="15" thickBot="1">
      <c r="A26" s="33" t="s">
        <v>201</v>
      </c>
      <c r="B26" s="34">
        <v>44398</v>
      </c>
      <c r="C26" s="33" t="s">
        <v>197</v>
      </c>
      <c r="D26" s="33" t="s">
        <v>162</v>
      </c>
      <c r="E26" s="33" t="s">
        <v>163</v>
      </c>
      <c r="F26" s="45">
        <v>214977</v>
      </c>
      <c r="G26" s="47" t="str">
        <f t="shared" si="0"/>
        <v>Commission</v>
      </c>
      <c r="H26" s="50" t="str">
        <f t="shared" ca="1" si="1"/>
        <v>=IF(F26&gt;200000,"Commission","No-Commission")</v>
      </c>
      <c r="I26" s="48">
        <f t="shared" si="2"/>
        <v>21497.7</v>
      </c>
      <c r="J26" s="50" t="str">
        <f t="shared" ca="1" si="1"/>
        <v>=IF(F26&gt;200000,10%*F26,0%)</v>
      </c>
      <c r="K26" s="35" t="str">
        <f t="shared" si="3"/>
        <v>-</v>
      </c>
      <c r="L26" s="50" t="str">
        <f t="shared" ref="L26:N26" ca="1" si="102">IFERROR(_xlfn.FORMULATEXT(K26),"")</f>
        <v>=IF(AND(D26="Laptop",E26="Apple"),10%,"-")</v>
      </c>
      <c r="M26" s="45" t="str">
        <f t="shared" si="5"/>
        <v>No-Commission</v>
      </c>
      <c r="N26" s="50" t="str">
        <f t="shared" ca="1" si="102"/>
        <v>=IF(OR(C26="Delhi",D26="Laptop"),"Commission","No-Commission")</v>
      </c>
      <c r="O26" s="45">
        <f t="shared" si="6"/>
        <v>0</v>
      </c>
      <c r="P26" s="50" t="str">
        <f t="shared" ref="P26:R26" ca="1" si="103">IFERROR(_xlfn.FORMULATEXT(O26),"")</f>
        <v>=IF(AND(D26="laptop",E26="apple"),F26*10%,0)</v>
      </c>
      <c r="Q26" s="45">
        <f t="shared" si="8"/>
        <v>0</v>
      </c>
      <c r="R26" s="50" t="str">
        <f t="shared" ca="1" si="103"/>
        <v>=IF(OR(D26="laptop",C26="delhi"),F26*10%,0)</v>
      </c>
      <c r="S26" s="45">
        <f t="shared" si="9"/>
        <v>0</v>
      </c>
      <c r="T26" s="50" t="str">
        <f t="shared" ref="T26:V26" ca="1" si="104">IFERROR(_xlfn.FORMULATEXT(S26),"")</f>
        <v>=IF(AND(D26="laptop",OR(E26="samsung",E26="Apple")),F26*10%,0)</v>
      </c>
      <c r="U26" s="57">
        <f t="shared" si="11"/>
        <v>10749</v>
      </c>
      <c r="V26" s="50" t="str">
        <f t="shared" ca="1" si="104"/>
        <v>=IFERROR(ROUND(IF(C26="Mumbai","-",F26*5%),0),"-")</v>
      </c>
      <c r="W26" s="35">
        <f t="shared" si="12"/>
        <v>0.04</v>
      </c>
      <c r="X26" s="50" t="str">
        <f t="shared" ref="X26:Z26" ca="1" si="105">IFERROR(_xlfn.FORMULATEXT(W26),"")</f>
        <v>=IF(F26&lt;=200000,3%,IF(F26&lt;=300000,4%,IF(F26&lt;=400000,5%,IF(F26&lt;=500000,6%,10%))))</v>
      </c>
      <c r="Y26" s="35" cm="1">
        <f t="array" ref="Y26">_xlfn.IFS(F26&lt;$AB$14,$AD$13,F26&lt;$AB$15,$AD$14,F26&lt;$AB$16,$AD$15,F26&lt;$AB$17,$AD$16,F26&gt;=$AB$17,$AD$17)</f>
        <v>0.04</v>
      </c>
      <c r="Z26" s="50" t="str">
        <f t="shared" ca="1" si="105"/>
        <v>=IFS(F26&lt;$AB$14,$AD$13,F26&lt;$AB$15,$AD$14,F26&lt;$AB$16,$AD$15,F26&lt;$AB$17,$AD$16,F26&gt;=$AB$17,$AD$17)</v>
      </c>
    </row>
    <row r="27" spans="1:30" ht="15" thickBot="1">
      <c r="A27" s="33" t="s">
        <v>202</v>
      </c>
      <c r="B27" s="34">
        <v>44502</v>
      </c>
      <c r="C27" s="33" t="s">
        <v>199</v>
      </c>
      <c r="D27" s="33" t="s">
        <v>170</v>
      </c>
      <c r="E27" s="33" t="s">
        <v>158</v>
      </c>
      <c r="F27" s="45">
        <v>164982</v>
      </c>
      <c r="G27" s="47" t="str">
        <f t="shared" si="0"/>
        <v>No-Commission</v>
      </c>
      <c r="H27" s="50" t="str">
        <f t="shared" ca="1" si="1"/>
        <v>=IF(F27&gt;200000,"Commission","No-Commission")</v>
      </c>
      <c r="I27" s="48">
        <f t="shared" si="2"/>
        <v>0</v>
      </c>
      <c r="J27" s="50" t="str">
        <f t="shared" ca="1" si="1"/>
        <v>=IF(F27&gt;200000,10%*F27,0%)</v>
      </c>
      <c r="K27" s="35" t="str">
        <f t="shared" si="3"/>
        <v>-</v>
      </c>
      <c r="L27" s="50" t="str">
        <f t="shared" ref="L27:N27" ca="1" si="106">IFERROR(_xlfn.FORMULATEXT(K27),"")</f>
        <v>=IF(AND(D27="Laptop",E27="Apple"),10%,"-")</v>
      </c>
      <c r="M27" s="45" t="str">
        <f t="shared" si="5"/>
        <v>No-Commission</v>
      </c>
      <c r="N27" s="50" t="str">
        <f t="shared" ca="1" si="106"/>
        <v>=IF(OR(C27="Delhi",D27="Laptop"),"Commission","No-Commission")</v>
      </c>
      <c r="O27" s="45">
        <f t="shared" si="6"/>
        <v>0</v>
      </c>
      <c r="P27" s="50" t="str">
        <f t="shared" ref="P27:R27" ca="1" si="107">IFERROR(_xlfn.FORMULATEXT(O27),"")</f>
        <v>=IF(AND(D27="laptop",E27="apple"),F27*10%,0)</v>
      </c>
      <c r="Q27" s="45">
        <f t="shared" si="8"/>
        <v>0</v>
      </c>
      <c r="R27" s="50" t="str">
        <f t="shared" ca="1" si="107"/>
        <v>=IF(OR(D27="laptop",C27="delhi"),F27*10%,0)</v>
      </c>
      <c r="S27" s="45">
        <f t="shared" si="9"/>
        <v>0</v>
      </c>
      <c r="T27" s="50" t="str">
        <f t="shared" ref="T27:V27" ca="1" si="108">IFERROR(_xlfn.FORMULATEXT(S27),"")</f>
        <v>=IF(AND(D27="laptop",OR(E27="samsung",E27="Apple")),F27*10%,0)</v>
      </c>
      <c r="U27" s="57">
        <f t="shared" si="11"/>
        <v>8249</v>
      </c>
      <c r="V27" s="50" t="str">
        <f t="shared" ca="1" si="108"/>
        <v>=IFERROR(ROUND(IF(C27="Mumbai","-",F27*5%),0),"-")</v>
      </c>
      <c r="W27" s="35">
        <f t="shared" si="12"/>
        <v>0.03</v>
      </c>
      <c r="X27" s="50" t="str">
        <f t="shared" ref="X27:Z27" ca="1" si="109">IFERROR(_xlfn.FORMULATEXT(W27),"")</f>
        <v>=IF(F27&lt;=200000,3%,IF(F27&lt;=300000,4%,IF(F27&lt;=400000,5%,IF(F27&lt;=500000,6%,10%))))</v>
      </c>
      <c r="Y27" s="35" cm="1">
        <f t="array" ref="Y27">_xlfn.IFS(F27&lt;$AB$14,$AD$13,F27&lt;$AB$15,$AD$14,F27&lt;$AB$16,$AD$15,F27&lt;$AB$17,$AD$16,F27&gt;=$AB$17,$AD$17)</f>
        <v>0.03</v>
      </c>
      <c r="Z27" s="50" t="str">
        <f t="shared" ca="1" si="109"/>
        <v>=IFS(F27&lt;$AB$14,$AD$13,F27&lt;$AB$15,$AD$14,F27&lt;$AB$16,$AD$15,F27&lt;$AB$17,$AD$16,F27&gt;=$AB$17,$AD$17)</v>
      </c>
    </row>
    <row r="28" spans="1:30" ht="15" thickBot="1">
      <c r="A28" s="33" t="s">
        <v>203</v>
      </c>
      <c r="B28" s="34">
        <v>44407</v>
      </c>
      <c r="C28" s="33" t="s">
        <v>197</v>
      </c>
      <c r="D28" s="33" t="s">
        <v>157</v>
      </c>
      <c r="E28" s="33" t="s">
        <v>121</v>
      </c>
      <c r="F28" s="45">
        <v>599410</v>
      </c>
      <c r="G28" s="47" t="str">
        <f t="shared" si="0"/>
        <v>Commission</v>
      </c>
      <c r="H28" s="50" t="str">
        <f t="shared" ca="1" si="1"/>
        <v>=IF(F28&gt;200000,"Commission","No-Commission")</v>
      </c>
      <c r="I28" s="48">
        <f t="shared" si="2"/>
        <v>59941</v>
      </c>
      <c r="J28" s="50" t="str">
        <f t="shared" ca="1" si="1"/>
        <v>=IF(F28&gt;200000,10%*F28,0%)</v>
      </c>
      <c r="K28" s="35" t="str">
        <f t="shared" si="3"/>
        <v>-</v>
      </c>
      <c r="L28" s="50" t="str">
        <f t="shared" ref="L28:N28" ca="1" si="110">IFERROR(_xlfn.FORMULATEXT(K28),"")</f>
        <v>=IF(AND(D28="Laptop",E28="Apple"),10%,"-")</v>
      </c>
      <c r="M28" s="45" t="str">
        <f t="shared" si="5"/>
        <v>Commission</v>
      </c>
      <c r="N28" s="50" t="str">
        <f t="shared" ca="1" si="110"/>
        <v>=IF(OR(C28="Delhi",D28="Laptop"),"Commission","No-Commission")</v>
      </c>
      <c r="O28" s="45">
        <f t="shared" si="6"/>
        <v>0</v>
      </c>
      <c r="P28" s="50" t="str">
        <f t="shared" ref="P28:R28" ca="1" si="111">IFERROR(_xlfn.FORMULATEXT(O28),"")</f>
        <v>=IF(AND(D28="laptop",E28="apple"),F28*10%,0)</v>
      </c>
      <c r="Q28" s="45">
        <f t="shared" si="8"/>
        <v>59941</v>
      </c>
      <c r="R28" s="50" t="str">
        <f t="shared" ca="1" si="111"/>
        <v>=IF(OR(D28="laptop",C28="delhi"),F28*10%,0)</v>
      </c>
      <c r="S28" s="45">
        <f t="shared" si="9"/>
        <v>0</v>
      </c>
      <c r="T28" s="50" t="str">
        <f t="shared" ref="T28:V28" ca="1" si="112">IFERROR(_xlfn.FORMULATEXT(S28),"")</f>
        <v>=IF(AND(D28="laptop",OR(E28="samsung",E28="Apple")),F28*10%,0)</v>
      </c>
      <c r="U28" s="57">
        <f t="shared" si="11"/>
        <v>29971</v>
      </c>
      <c r="V28" s="50" t="str">
        <f t="shared" ca="1" si="112"/>
        <v>=IFERROR(ROUND(IF(C28="Mumbai","-",F28*5%),0),"-")</v>
      </c>
      <c r="W28" s="35">
        <f t="shared" si="12"/>
        <v>0.1</v>
      </c>
      <c r="X28" s="50" t="str">
        <f t="shared" ref="X28:Z28" ca="1" si="113">IFERROR(_xlfn.FORMULATEXT(W28),"")</f>
        <v>=IF(F28&lt;=200000,3%,IF(F28&lt;=300000,4%,IF(F28&lt;=400000,5%,IF(F28&lt;=500000,6%,10%))))</v>
      </c>
      <c r="Y28" s="35" cm="1">
        <f t="array" ref="Y28">_xlfn.IFS(F28&lt;$AB$14,$AD$13,F28&lt;$AB$15,$AD$14,F28&lt;$AB$16,$AD$15,F28&lt;$AB$17,$AD$16,F28&gt;=$AB$17,$AD$17)</f>
        <v>0.1</v>
      </c>
      <c r="Z28" s="50" t="str">
        <f t="shared" ca="1" si="113"/>
        <v>=IFS(F28&lt;$AB$14,$AD$13,F28&lt;$AB$15,$AD$14,F28&lt;$AB$16,$AD$15,F28&lt;$AB$17,$AD$16,F28&gt;=$AB$17,$AD$17)</v>
      </c>
    </row>
    <row r="29" spans="1:30" ht="15" thickBot="1">
      <c r="A29" s="33" t="s">
        <v>204</v>
      </c>
      <c r="B29" s="34">
        <v>44618</v>
      </c>
      <c r="C29" s="33" t="s">
        <v>205</v>
      </c>
      <c r="D29" s="33" t="s">
        <v>170</v>
      </c>
      <c r="E29" s="33" t="s">
        <v>158</v>
      </c>
      <c r="F29" s="45">
        <v>525266</v>
      </c>
      <c r="G29" s="47" t="str">
        <f t="shared" si="0"/>
        <v>Commission</v>
      </c>
      <c r="H29" s="50" t="str">
        <f t="shared" ca="1" si="1"/>
        <v>=IF(F29&gt;200000,"Commission","No-Commission")</v>
      </c>
      <c r="I29" s="48">
        <f t="shared" si="2"/>
        <v>52526.600000000006</v>
      </c>
      <c r="J29" s="50" t="str">
        <f t="shared" ca="1" si="1"/>
        <v>=IF(F29&gt;200000,10%*F29,0%)</v>
      </c>
      <c r="K29" s="35" t="str">
        <f t="shared" si="3"/>
        <v>-</v>
      </c>
      <c r="L29" s="50" t="str">
        <f t="shared" ref="L29:N29" ca="1" si="114">IFERROR(_xlfn.FORMULATEXT(K29),"")</f>
        <v>=IF(AND(D29="Laptop",E29="Apple"),10%,"-")</v>
      </c>
      <c r="M29" s="45" t="str">
        <f t="shared" si="5"/>
        <v>No-Commission</v>
      </c>
      <c r="N29" s="50" t="str">
        <f t="shared" ca="1" si="114"/>
        <v>=IF(OR(C29="Delhi",D29="Laptop"),"Commission","No-Commission")</v>
      </c>
      <c r="O29" s="45">
        <f t="shared" si="6"/>
        <v>0</v>
      </c>
      <c r="P29" s="50" t="str">
        <f t="shared" ref="P29:R29" ca="1" si="115">IFERROR(_xlfn.FORMULATEXT(O29),"")</f>
        <v>=IF(AND(D29="laptop",E29="apple"),F29*10%,0)</v>
      </c>
      <c r="Q29" s="45">
        <f t="shared" si="8"/>
        <v>0</v>
      </c>
      <c r="R29" s="50" t="str">
        <f t="shared" ca="1" si="115"/>
        <v>=IF(OR(D29="laptop",C29="delhi"),F29*10%,0)</v>
      </c>
      <c r="S29" s="45">
        <f t="shared" si="9"/>
        <v>0</v>
      </c>
      <c r="T29" s="50" t="str">
        <f t="shared" ref="T29:V29" ca="1" si="116">IFERROR(_xlfn.FORMULATEXT(S29),"")</f>
        <v>=IF(AND(D29="laptop",OR(E29="samsung",E29="Apple")),F29*10%,0)</v>
      </c>
      <c r="U29" s="57">
        <f t="shared" si="11"/>
        <v>26263</v>
      </c>
      <c r="V29" s="50" t="str">
        <f t="shared" ca="1" si="116"/>
        <v>=IFERROR(ROUND(IF(C29="Mumbai","-",F29*5%),0),"-")</v>
      </c>
      <c r="W29" s="35">
        <f t="shared" si="12"/>
        <v>0.1</v>
      </c>
      <c r="X29" s="50" t="str">
        <f t="shared" ref="X29:Z29" ca="1" si="117">IFERROR(_xlfn.FORMULATEXT(W29),"")</f>
        <v>=IF(F29&lt;=200000,3%,IF(F29&lt;=300000,4%,IF(F29&lt;=400000,5%,IF(F29&lt;=500000,6%,10%))))</v>
      </c>
      <c r="Y29" s="35" cm="1">
        <f t="array" ref="Y29">_xlfn.IFS(F29&lt;$AB$14,$AD$13,F29&lt;$AB$15,$AD$14,F29&lt;$AB$16,$AD$15,F29&lt;$AB$17,$AD$16,F29&gt;=$AB$17,$AD$17)</f>
        <v>0.1</v>
      </c>
      <c r="Z29" s="50" t="str">
        <f t="shared" ca="1" si="117"/>
        <v>=IFS(F29&lt;$AB$14,$AD$13,F29&lt;$AB$15,$AD$14,F29&lt;$AB$16,$AD$15,F29&lt;$AB$17,$AD$16,F29&gt;=$AB$17,$AD$17)</v>
      </c>
    </row>
    <row r="30" spans="1:30" ht="15" thickBot="1">
      <c r="A30" s="33" t="s">
        <v>206</v>
      </c>
      <c r="B30" s="34">
        <v>44648</v>
      </c>
      <c r="C30" s="33" t="s">
        <v>197</v>
      </c>
      <c r="D30" s="33" t="s">
        <v>157</v>
      </c>
      <c r="E30" s="33" t="s">
        <v>158</v>
      </c>
      <c r="F30" s="45">
        <v>208439</v>
      </c>
      <c r="G30" s="47" t="str">
        <f t="shared" si="0"/>
        <v>Commission</v>
      </c>
      <c r="H30" s="50" t="str">
        <f t="shared" ca="1" si="1"/>
        <v>=IF(F30&gt;200000,"Commission","No-Commission")</v>
      </c>
      <c r="I30" s="48">
        <f t="shared" si="2"/>
        <v>20843.900000000001</v>
      </c>
      <c r="J30" s="50" t="str">
        <f t="shared" ca="1" si="1"/>
        <v>=IF(F30&gt;200000,10%*F30,0%)</v>
      </c>
      <c r="K30" s="35">
        <f t="shared" si="3"/>
        <v>0.1</v>
      </c>
      <c r="L30" s="50" t="str">
        <f t="shared" ref="L30:N30" ca="1" si="118">IFERROR(_xlfn.FORMULATEXT(K30),"")</f>
        <v>=IF(AND(D30="Laptop",E30="Apple"),10%,"-")</v>
      </c>
      <c r="M30" s="45" t="str">
        <f t="shared" si="5"/>
        <v>Commission</v>
      </c>
      <c r="N30" s="50" t="str">
        <f t="shared" ca="1" si="118"/>
        <v>=IF(OR(C30="Delhi",D30="Laptop"),"Commission","No-Commission")</v>
      </c>
      <c r="O30" s="45">
        <f t="shared" si="6"/>
        <v>20843.900000000001</v>
      </c>
      <c r="P30" s="50" t="str">
        <f t="shared" ref="P30:R30" ca="1" si="119">IFERROR(_xlfn.FORMULATEXT(O30),"")</f>
        <v>=IF(AND(D30="laptop",E30="apple"),F30*10%,0)</v>
      </c>
      <c r="Q30" s="45">
        <f t="shared" si="8"/>
        <v>20843.900000000001</v>
      </c>
      <c r="R30" s="50" t="str">
        <f t="shared" ca="1" si="119"/>
        <v>=IF(OR(D30="laptop",C30="delhi"),F30*10%,0)</v>
      </c>
      <c r="S30" s="45">
        <f t="shared" si="9"/>
        <v>20843.900000000001</v>
      </c>
      <c r="T30" s="50" t="str">
        <f t="shared" ref="T30:V30" ca="1" si="120">IFERROR(_xlfn.FORMULATEXT(S30),"")</f>
        <v>=IF(AND(D30="laptop",OR(E30="samsung",E30="Apple")),F30*10%,0)</v>
      </c>
      <c r="U30" s="57">
        <f t="shared" si="11"/>
        <v>10422</v>
      </c>
      <c r="V30" s="50" t="str">
        <f t="shared" ca="1" si="120"/>
        <v>=IFERROR(ROUND(IF(C30="Mumbai","-",F30*5%),0),"-")</v>
      </c>
      <c r="W30" s="35">
        <f t="shared" si="12"/>
        <v>0.04</v>
      </c>
      <c r="X30" s="50" t="str">
        <f t="shared" ref="X30:Z30" ca="1" si="121">IFERROR(_xlfn.FORMULATEXT(W30),"")</f>
        <v>=IF(F30&lt;=200000,3%,IF(F30&lt;=300000,4%,IF(F30&lt;=400000,5%,IF(F30&lt;=500000,6%,10%))))</v>
      </c>
      <c r="Y30" s="35" cm="1">
        <f t="array" ref="Y30">_xlfn.IFS(F30&lt;$AB$14,$AD$13,F30&lt;$AB$15,$AD$14,F30&lt;$AB$16,$AD$15,F30&lt;$AB$17,$AD$16,F30&gt;=$AB$17,$AD$17)</f>
        <v>0.04</v>
      </c>
      <c r="Z30" s="50" t="str">
        <f t="shared" ca="1" si="121"/>
        <v>=IFS(F30&lt;$AB$14,$AD$13,F30&lt;$AB$15,$AD$14,F30&lt;$AB$16,$AD$15,F30&lt;$AB$17,$AD$16,F30&gt;=$AB$17,$AD$17)</v>
      </c>
    </row>
    <row r="31" spans="1:30" ht="15" thickBot="1">
      <c r="A31" s="33" t="s">
        <v>207</v>
      </c>
      <c r="B31" s="34">
        <v>44439</v>
      </c>
      <c r="C31" s="33" t="s">
        <v>205</v>
      </c>
      <c r="D31" s="33" t="s">
        <v>157</v>
      </c>
      <c r="E31" s="33" t="s">
        <v>163</v>
      </c>
      <c r="F31" s="45">
        <v>596943</v>
      </c>
      <c r="G31" s="47" t="str">
        <f t="shared" si="0"/>
        <v>Commission</v>
      </c>
      <c r="H31" s="50" t="str">
        <f t="shared" ca="1" si="1"/>
        <v>=IF(F31&gt;200000,"Commission","No-Commission")</v>
      </c>
      <c r="I31" s="48">
        <f t="shared" si="2"/>
        <v>59694.3</v>
      </c>
      <c r="J31" s="50" t="str">
        <f t="shared" ca="1" si="1"/>
        <v>=IF(F31&gt;200000,10%*F31,0%)</v>
      </c>
      <c r="K31" s="35" t="str">
        <f t="shared" si="3"/>
        <v>-</v>
      </c>
      <c r="L31" s="50" t="str">
        <f t="shared" ref="L31:N31" ca="1" si="122">IFERROR(_xlfn.FORMULATEXT(K31),"")</f>
        <v>=IF(AND(D31="Laptop",E31="Apple"),10%,"-")</v>
      </c>
      <c r="M31" s="45" t="str">
        <f t="shared" si="5"/>
        <v>Commission</v>
      </c>
      <c r="N31" s="50" t="str">
        <f t="shared" ca="1" si="122"/>
        <v>=IF(OR(C31="Delhi",D31="Laptop"),"Commission","No-Commission")</v>
      </c>
      <c r="O31" s="45">
        <f t="shared" si="6"/>
        <v>0</v>
      </c>
      <c r="P31" s="50" t="str">
        <f t="shared" ref="P31:R31" ca="1" si="123">IFERROR(_xlfn.FORMULATEXT(O31),"")</f>
        <v>=IF(AND(D31="laptop",E31="apple"),F31*10%,0)</v>
      </c>
      <c r="Q31" s="45">
        <f t="shared" si="8"/>
        <v>59694.3</v>
      </c>
      <c r="R31" s="50" t="str">
        <f t="shared" ca="1" si="123"/>
        <v>=IF(OR(D31="laptop",C31="delhi"),F31*10%,0)</v>
      </c>
      <c r="S31" s="45">
        <f t="shared" si="9"/>
        <v>59694.3</v>
      </c>
      <c r="T31" s="50" t="str">
        <f t="shared" ref="T31:V31" ca="1" si="124">IFERROR(_xlfn.FORMULATEXT(S31),"")</f>
        <v>=IF(AND(D31="laptop",OR(E31="samsung",E31="Apple")),F31*10%,0)</v>
      </c>
      <c r="U31" s="57">
        <f t="shared" si="11"/>
        <v>29847</v>
      </c>
      <c r="V31" s="50" t="str">
        <f t="shared" ca="1" si="124"/>
        <v>=IFERROR(ROUND(IF(C31="Mumbai","-",F31*5%),0),"-")</v>
      </c>
      <c r="W31" s="35">
        <f t="shared" si="12"/>
        <v>0.1</v>
      </c>
      <c r="X31" s="50" t="str">
        <f t="shared" ref="X31:Z31" ca="1" si="125">IFERROR(_xlfn.FORMULATEXT(W31),"")</f>
        <v>=IF(F31&lt;=200000,3%,IF(F31&lt;=300000,4%,IF(F31&lt;=400000,5%,IF(F31&lt;=500000,6%,10%))))</v>
      </c>
      <c r="Y31" s="35" cm="1">
        <f t="array" ref="Y31">_xlfn.IFS(F31&lt;$AB$14,$AD$13,F31&lt;$AB$15,$AD$14,F31&lt;$AB$16,$AD$15,F31&lt;$AB$17,$AD$16,F31&gt;=$AB$17,$AD$17)</f>
        <v>0.1</v>
      </c>
      <c r="Z31" s="50" t="str">
        <f t="shared" ca="1" si="125"/>
        <v>=IFS(F31&lt;$AB$14,$AD$13,F31&lt;$AB$15,$AD$14,F31&lt;$AB$16,$AD$15,F31&lt;$AB$17,$AD$16,F31&gt;=$AB$17,$AD$17)</v>
      </c>
    </row>
    <row r="32" spans="1:30" ht="15" thickBot="1">
      <c r="A32" s="33" t="s">
        <v>208</v>
      </c>
      <c r="B32" s="34">
        <v>44467</v>
      </c>
      <c r="C32" s="33" t="s">
        <v>197</v>
      </c>
      <c r="D32" s="33" t="s">
        <v>162</v>
      </c>
      <c r="E32" s="33" t="s">
        <v>121</v>
      </c>
      <c r="F32" s="45">
        <v>244388</v>
      </c>
      <c r="G32" s="47" t="str">
        <f t="shared" si="0"/>
        <v>Commission</v>
      </c>
      <c r="H32" s="50" t="str">
        <f t="shared" ca="1" si="1"/>
        <v>=IF(F32&gt;200000,"Commission","No-Commission")</v>
      </c>
      <c r="I32" s="48">
        <f t="shared" si="2"/>
        <v>24438.800000000003</v>
      </c>
      <c r="J32" s="50" t="str">
        <f t="shared" ca="1" si="1"/>
        <v>=IF(F32&gt;200000,10%*F32,0%)</v>
      </c>
      <c r="K32" s="35" t="str">
        <f t="shared" si="3"/>
        <v>-</v>
      </c>
      <c r="L32" s="50" t="str">
        <f t="shared" ref="L32:N32" ca="1" si="126">IFERROR(_xlfn.FORMULATEXT(K32),"")</f>
        <v>=IF(AND(D32="Laptop",E32="Apple"),10%,"-")</v>
      </c>
      <c r="M32" s="45" t="str">
        <f t="shared" si="5"/>
        <v>No-Commission</v>
      </c>
      <c r="N32" s="50" t="str">
        <f t="shared" ca="1" si="126"/>
        <v>=IF(OR(C32="Delhi",D32="Laptop"),"Commission","No-Commission")</v>
      </c>
      <c r="O32" s="45">
        <f t="shared" si="6"/>
        <v>0</v>
      </c>
      <c r="P32" s="50" t="str">
        <f t="shared" ref="P32:R32" ca="1" si="127">IFERROR(_xlfn.FORMULATEXT(O32),"")</f>
        <v>=IF(AND(D32="laptop",E32="apple"),F32*10%,0)</v>
      </c>
      <c r="Q32" s="45">
        <f t="shared" si="8"/>
        <v>0</v>
      </c>
      <c r="R32" s="50" t="str">
        <f t="shared" ca="1" si="127"/>
        <v>=IF(OR(D32="laptop",C32="delhi"),F32*10%,0)</v>
      </c>
      <c r="S32" s="45">
        <f t="shared" si="9"/>
        <v>0</v>
      </c>
      <c r="T32" s="50" t="str">
        <f t="shared" ref="T32:V32" ca="1" si="128">IFERROR(_xlfn.FORMULATEXT(S32),"")</f>
        <v>=IF(AND(D32="laptop",OR(E32="samsung",E32="Apple")),F32*10%,0)</v>
      </c>
      <c r="U32" s="57">
        <f t="shared" si="11"/>
        <v>12219</v>
      </c>
      <c r="V32" s="50" t="str">
        <f t="shared" ca="1" si="128"/>
        <v>=IFERROR(ROUND(IF(C32="Mumbai","-",F32*5%),0),"-")</v>
      </c>
      <c r="W32" s="35">
        <f t="shared" si="12"/>
        <v>0.04</v>
      </c>
      <c r="X32" s="50" t="str">
        <f t="shared" ref="X32:Z32" ca="1" si="129">IFERROR(_xlfn.FORMULATEXT(W32),"")</f>
        <v>=IF(F32&lt;=200000,3%,IF(F32&lt;=300000,4%,IF(F32&lt;=400000,5%,IF(F32&lt;=500000,6%,10%))))</v>
      </c>
      <c r="Y32" s="35" cm="1">
        <f t="array" ref="Y32">_xlfn.IFS(F32&lt;$AB$14,$AD$13,F32&lt;$AB$15,$AD$14,F32&lt;$AB$16,$AD$15,F32&lt;$AB$17,$AD$16,F32&gt;=$AB$17,$AD$17)</f>
        <v>0.04</v>
      </c>
      <c r="Z32" s="50" t="str">
        <f t="shared" ca="1" si="129"/>
        <v>=IFS(F32&lt;$AB$14,$AD$13,F32&lt;$AB$15,$AD$14,F32&lt;$AB$16,$AD$15,F32&lt;$AB$17,$AD$16,F32&gt;=$AB$17,$AD$17)</v>
      </c>
    </row>
    <row r="33" spans="1:26" ht="15" thickBot="1">
      <c r="A33" s="33" t="s">
        <v>209</v>
      </c>
      <c r="B33" s="34">
        <v>44577</v>
      </c>
      <c r="C33" s="33" t="s">
        <v>199</v>
      </c>
      <c r="D33" s="33" t="s">
        <v>162</v>
      </c>
      <c r="E33" s="33" t="s">
        <v>121</v>
      </c>
      <c r="F33" s="45">
        <v>131993</v>
      </c>
      <c r="G33" s="47" t="str">
        <f t="shared" si="0"/>
        <v>No-Commission</v>
      </c>
      <c r="H33" s="50" t="str">
        <f t="shared" ca="1" si="1"/>
        <v>=IF(F33&gt;200000,"Commission","No-Commission")</v>
      </c>
      <c r="I33" s="48">
        <f t="shared" si="2"/>
        <v>0</v>
      </c>
      <c r="J33" s="50" t="str">
        <f t="shared" ca="1" si="1"/>
        <v>=IF(F33&gt;200000,10%*F33,0%)</v>
      </c>
      <c r="K33" s="35" t="str">
        <f t="shared" si="3"/>
        <v>-</v>
      </c>
      <c r="L33" s="50" t="str">
        <f t="shared" ref="L33:N33" ca="1" si="130">IFERROR(_xlfn.FORMULATEXT(K33),"")</f>
        <v>=IF(AND(D33="Laptop",E33="Apple"),10%,"-")</v>
      </c>
      <c r="M33" s="45" t="str">
        <f t="shared" si="5"/>
        <v>No-Commission</v>
      </c>
      <c r="N33" s="50" t="str">
        <f t="shared" ca="1" si="130"/>
        <v>=IF(OR(C33="Delhi",D33="Laptop"),"Commission","No-Commission")</v>
      </c>
      <c r="O33" s="45">
        <f t="shared" si="6"/>
        <v>0</v>
      </c>
      <c r="P33" s="50" t="str">
        <f t="shared" ref="P33:R33" ca="1" si="131">IFERROR(_xlfn.FORMULATEXT(O33),"")</f>
        <v>=IF(AND(D33="laptop",E33="apple"),F33*10%,0)</v>
      </c>
      <c r="Q33" s="45">
        <f t="shared" si="8"/>
        <v>0</v>
      </c>
      <c r="R33" s="50" t="str">
        <f t="shared" ca="1" si="131"/>
        <v>=IF(OR(D33="laptop",C33="delhi"),F33*10%,0)</v>
      </c>
      <c r="S33" s="45">
        <f t="shared" si="9"/>
        <v>0</v>
      </c>
      <c r="T33" s="50" t="str">
        <f t="shared" ref="T33:V33" ca="1" si="132">IFERROR(_xlfn.FORMULATEXT(S33),"")</f>
        <v>=IF(AND(D33="laptop",OR(E33="samsung",E33="Apple")),F33*10%,0)</v>
      </c>
      <c r="U33" s="57">
        <f t="shared" si="11"/>
        <v>6600</v>
      </c>
      <c r="V33" s="50" t="str">
        <f t="shared" ca="1" si="132"/>
        <v>=IFERROR(ROUND(IF(C33="Mumbai","-",F33*5%),0),"-")</v>
      </c>
      <c r="W33" s="35">
        <f t="shared" si="12"/>
        <v>0.03</v>
      </c>
      <c r="X33" s="50" t="str">
        <f t="shared" ref="X33:Z33" ca="1" si="133">IFERROR(_xlfn.FORMULATEXT(W33),"")</f>
        <v>=IF(F33&lt;=200000,3%,IF(F33&lt;=300000,4%,IF(F33&lt;=400000,5%,IF(F33&lt;=500000,6%,10%))))</v>
      </c>
      <c r="Y33" s="35" cm="1">
        <f t="array" ref="Y33">_xlfn.IFS(F33&lt;$AB$14,$AD$13,F33&lt;$AB$15,$AD$14,F33&lt;$AB$16,$AD$15,F33&lt;$AB$17,$AD$16,F33&gt;=$AB$17,$AD$17)</f>
        <v>0.03</v>
      </c>
      <c r="Z33" s="50" t="str">
        <f t="shared" ca="1" si="133"/>
        <v>=IFS(F33&lt;$AB$14,$AD$13,F33&lt;$AB$15,$AD$14,F33&lt;$AB$16,$AD$15,F33&lt;$AB$17,$AD$16,F33&gt;=$AB$17,$AD$17)</v>
      </c>
    </row>
    <row r="34" spans="1:26" ht="15" thickBot="1">
      <c r="A34" s="33" t="s">
        <v>210</v>
      </c>
      <c r="B34" s="34">
        <v>44419</v>
      </c>
      <c r="C34" s="33" t="s">
        <v>211</v>
      </c>
      <c r="D34" s="33" t="s">
        <v>162</v>
      </c>
      <c r="E34" s="33" t="s">
        <v>163</v>
      </c>
      <c r="F34" s="45">
        <v>471720</v>
      </c>
      <c r="G34" s="47" t="str">
        <f t="shared" si="0"/>
        <v>Commission</v>
      </c>
      <c r="H34" s="50" t="str">
        <f t="shared" ca="1" si="1"/>
        <v>=IF(F34&gt;200000,"Commission","No-Commission")</v>
      </c>
      <c r="I34" s="48">
        <f t="shared" si="2"/>
        <v>47172</v>
      </c>
      <c r="J34" s="50" t="str">
        <f t="shared" ca="1" si="1"/>
        <v>=IF(F34&gt;200000,10%*F34,0%)</v>
      </c>
      <c r="K34" s="35" t="str">
        <f t="shared" si="3"/>
        <v>-</v>
      </c>
      <c r="L34" s="50" t="str">
        <f t="shared" ref="L34:N34" ca="1" si="134">IFERROR(_xlfn.FORMULATEXT(K34),"")</f>
        <v>=IF(AND(D34="Laptop",E34="Apple"),10%,"-")</v>
      </c>
      <c r="M34" s="45" t="str">
        <f t="shared" si="5"/>
        <v>No-Commission</v>
      </c>
      <c r="N34" s="50" t="str">
        <f t="shared" ca="1" si="134"/>
        <v>=IF(OR(C34="Delhi",D34="Laptop"),"Commission","No-Commission")</v>
      </c>
      <c r="O34" s="45">
        <f t="shared" si="6"/>
        <v>0</v>
      </c>
      <c r="P34" s="50" t="str">
        <f t="shared" ref="P34:R34" ca="1" si="135">IFERROR(_xlfn.FORMULATEXT(O34),"")</f>
        <v>=IF(AND(D34="laptop",E34="apple"),F34*10%,0)</v>
      </c>
      <c r="Q34" s="45">
        <f t="shared" si="8"/>
        <v>0</v>
      </c>
      <c r="R34" s="50" t="str">
        <f t="shared" ca="1" si="135"/>
        <v>=IF(OR(D34="laptop",C34="delhi"),F34*10%,0)</v>
      </c>
      <c r="S34" s="45">
        <f t="shared" si="9"/>
        <v>0</v>
      </c>
      <c r="T34" s="50" t="str">
        <f t="shared" ref="T34:V34" ca="1" si="136">IFERROR(_xlfn.FORMULATEXT(S34),"")</f>
        <v>=IF(AND(D34="laptop",OR(E34="samsung",E34="Apple")),F34*10%,0)</v>
      </c>
      <c r="U34" s="57">
        <f t="shared" si="11"/>
        <v>23586</v>
      </c>
      <c r="V34" s="50" t="str">
        <f t="shared" ca="1" si="136"/>
        <v>=IFERROR(ROUND(IF(C34="Mumbai","-",F34*5%),0),"-")</v>
      </c>
      <c r="W34" s="35">
        <f t="shared" si="12"/>
        <v>0.06</v>
      </c>
      <c r="X34" s="50" t="str">
        <f t="shared" ref="X34:Z34" ca="1" si="137">IFERROR(_xlfn.FORMULATEXT(W34),"")</f>
        <v>=IF(F34&lt;=200000,3%,IF(F34&lt;=300000,4%,IF(F34&lt;=400000,5%,IF(F34&lt;=500000,6%,10%))))</v>
      </c>
      <c r="Y34" s="35" cm="1">
        <f t="array" ref="Y34">_xlfn.IFS(F34&lt;$AB$14,$AD$13,F34&lt;$AB$15,$AD$14,F34&lt;$AB$16,$AD$15,F34&lt;$AB$17,$AD$16,F34&gt;=$AB$17,$AD$17)</f>
        <v>0.06</v>
      </c>
      <c r="Z34" s="50" t="str">
        <f t="shared" ca="1" si="137"/>
        <v>=IFS(F34&lt;$AB$14,$AD$13,F34&lt;$AB$15,$AD$14,F34&lt;$AB$16,$AD$15,F34&lt;$AB$17,$AD$16,F34&gt;=$AB$17,$AD$17)</v>
      </c>
    </row>
    <row r="35" spans="1:26" ht="15" thickBot="1">
      <c r="A35" s="33" t="s">
        <v>212</v>
      </c>
      <c r="B35" s="34">
        <v>44407</v>
      </c>
      <c r="C35" s="33" t="s">
        <v>205</v>
      </c>
      <c r="D35" s="33" t="s">
        <v>170</v>
      </c>
      <c r="E35" s="33" t="s">
        <v>158</v>
      </c>
      <c r="F35" s="45">
        <v>121713</v>
      </c>
      <c r="G35" s="47" t="str">
        <f t="shared" si="0"/>
        <v>No-Commission</v>
      </c>
      <c r="H35" s="50" t="str">
        <f t="shared" ca="1" si="1"/>
        <v>=IF(F35&gt;200000,"Commission","No-Commission")</v>
      </c>
      <c r="I35" s="48">
        <f t="shared" si="2"/>
        <v>0</v>
      </c>
      <c r="J35" s="50" t="str">
        <f t="shared" ca="1" si="1"/>
        <v>=IF(F35&gt;200000,10%*F35,0%)</v>
      </c>
      <c r="K35" s="35" t="str">
        <f t="shared" si="3"/>
        <v>-</v>
      </c>
      <c r="L35" s="50" t="str">
        <f t="shared" ref="L35:N35" ca="1" si="138">IFERROR(_xlfn.FORMULATEXT(K35),"")</f>
        <v>=IF(AND(D35="Laptop",E35="Apple"),10%,"-")</v>
      </c>
      <c r="M35" s="45" t="str">
        <f t="shared" si="5"/>
        <v>No-Commission</v>
      </c>
      <c r="N35" s="50" t="str">
        <f t="shared" ca="1" si="138"/>
        <v>=IF(OR(C35="Delhi",D35="Laptop"),"Commission","No-Commission")</v>
      </c>
      <c r="O35" s="45">
        <f t="shared" si="6"/>
        <v>0</v>
      </c>
      <c r="P35" s="50" t="str">
        <f t="shared" ref="P35:R35" ca="1" si="139">IFERROR(_xlfn.FORMULATEXT(O35),"")</f>
        <v>=IF(AND(D35="laptop",E35="apple"),F35*10%,0)</v>
      </c>
      <c r="Q35" s="45">
        <f t="shared" si="8"/>
        <v>0</v>
      </c>
      <c r="R35" s="50" t="str">
        <f t="shared" ca="1" si="139"/>
        <v>=IF(OR(D35="laptop",C35="delhi"),F35*10%,0)</v>
      </c>
      <c r="S35" s="45">
        <f t="shared" si="9"/>
        <v>0</v>
      </c>
      <c r="T35" s="50" t="str">
        <f t="shared" ref="T35:V35" ca="1" si="140">IFERROR(_xlfn.FORMULATEXT(S35),"")</f>
        <v>=IF(AND(D35="laptop",OR(E35="samsung",E35="Apple")),F35*10%,0)</v>
      </c>
      <c r="U35" s="57">
        <f t="shared" si="11"/>
        <v>6086</v>
      </c>
      <c r="V35" s="50" t="str">
        <f t="shared" ca="1" si="140"/>
        <v>=IFERROR(ROUND(IF(C35="Mumbai","-",F35*5%),0),"-")</v>
      </c>
      <c r="W35" s="35">
        <f t="shared" si="12"/>
        <v>0.03</v>
      </c>
      <c r="X35" s="50" t="str">
        <f t="shared" ref="X35:Z35" ca="1" si="141">IFERROR(_xlfn.FORMULATEXT(W35),"")</f>
        <v>=IF(F35&lt;=200000,3%,IF(F35&lt;=300000,4%,IF(F35&lt;=400000,5%,IF(F35&lt;=500000,6%,10%))))</v>
      </c>
      <c r="Y35" s="35" cm="1">
        <f t="array" ref="Y35">_xlfn.IFS(F35&lt;$AB$14,$AD$13,F35&lt;$AB$15,$AD$14,F35&lt;$AB$16,$AD$15,F35&lt;$AB$17,$AD$16,F35&gt;=$AB$17,$AD$17)</f>
        <v>0.03</v>
      </c>
      <c r="Z35" s="50" t="str">
        <f t="shared" ca="1" si="141"/>
        <v>=IFS(F35&lt;$AB$14,$AD$13,F35&lt;$AB$15,$AD$14,F35&lt;$AB$16,$AD$15,F35&lt;$AB$17,$AD$16,F35&gt;=$AB$17,$AD$17)</v>
      </c>
    </row>
    <row r="36" spans="1:26" ht="15" thickBot="1">
      <c r="A36" s="33" t="s">
        <v>213</v>
      </c>
      <c r="B36" s="34">
        <v>44352</v>
      </c>
      <c r="C36" s="33" t="s">
        <v>199</v>
      </c>
      <c r="D36" s="33" t="s">
        <v>157</v>
      </c>
      <c r="E36" s="33" t="s">
        <v>121</v>
      </c>
      <c r="F36" s="45">
        <v>292765</v>
      </c>
      <c r="G36" s="47" t="str">
        <f t="shared" si="0"/>
        <v>Commission</v>
      </c>
      <c r="H36" s="50" t="str">
        <f t="shared" ca="1" si="1"/>
        <v>=IF(F36&gt;200000,"Commission","No-Commission")</v>
      </c>
      <c r="I36" s="48">
        <f t="shared" si="2"/>
        <v>29276.5</v>
      </c>
      <c r="J36" s="50" t="str">
        <f t="shared" ca="1" si="1"/>
        <v>=IF(F36&gt;200000,10%*F36,0%)</v>
      </c>
      <c r="K36" s="35" t="str">
        <f t="shared" si="3"/>
        <v>-</v>
      </c>
      <c r="L36" s="50" t="str">
        <f t="shared" ref="L36:N36" ca="1" si="142">IFERROR(_xlfn.FORMULATEXT(K36),"")</f>
        <v>=IF(AND(D36="Laptop",E36="Apple"),10%,"-")</v>
      </c>
      <c r="M36" s="45" t="str">
        <f t="shared" si="5"/>
        <v>Commission</v>
      </c>
      <c r="N36" s="50" t="str">
        <f t="shared" ca="1" si="142"/>
        <v>=IF(OR(C36="Delhi",D36="Laptop"),"Commission","No-Commission")</v>
      </c>
      <c r="O36" s="45">
        <f t="shared" si="6"/>
        <v>0</v>
      </c>
      <c r="P36" s="50" t="str">
        <f t="shared" ref="P36:R36" ca="1" si="143">IFERROR(_xlfn.FORMULATEXT(O36),"")</f>
        <v>=IF(AND(D36="laptop",E36="apple"),F36*10%,0)</v>
      </c>
      <c r="Q36" s="45">
        <f t="shared" si="8"/>
        <v>29276.5</v>
      </c>
      <c r="R36" s="50" t="str">
        <f t="shared" ca="1" si="143"/>
        <v>=IF(OR(D36="laptop",C36="delhi"),F36*10%,0)</v>
      </c>
      <c r="S36" s="45">
        <f t="shared" si="9"/>
        <v>0</v>
      </c>
      <c r="T36" s="50" t="str">
        <f t="shared" ref="T36:V36" ca="1" si="144">IFERROR(_xlfn.FORMULATEXT(S36),"")</f>
        <v>=IF(AND(D36="laptop",OR(E36="samsung",E36="Apple")),F36*10%,0)</v>
      </c>
      <c r="U36" s="57">
        <f t="shared" si="11"/>
        <v>14638</v>
      </c>
      <c r="V36" s="50" t="str">
        <f t="shared" ca="1" si="144"/>
        <v>=IFERROR(ROUND(IF(C36="Mumbai","-",F36*5%),0),"-")</v>
      </c>
      <c r="W36" s="35">
        <f t="shared" si="12"/>
        <v>0.04</v>
      </c>
      <c r="X36" s="50" t="str">
        <f t="shared" ref="X36:Z36" ca="1" si="145">IFERROR(_xlfn.FORMULATEXT(W36),"")</f>
        <v>=IF(F36&lt;=200000,3%,IF(F36&lt;=300000,4%,IF(F36&lt;=400000,5%,IF(F36&lt;=500000,6%,10%))))</v>
      </c>
      <c r="Y36" s="35" cm="1">
        <f t="array" ref="Y36">_xlfn.IFS(F36&lt;$AB$14,$AD$13,F36&lt;$AB$15,$AD$14,F36&lt;$AB$16,$AD$15,F36&lt;$AB$17,$AD$16,F36&gt;=$AB$17,$AD$17)</f>
        <v>0.04</v>
      </c>
      <c r="Z36" s="50" t="str">
        <f t="shared" ca="1" si="145"/>
        <v>=IFS(F36&lt;$AB$14,$AD$13,F36&lt;$AB$15,$AD$14,F36&lt;$AB$16,$AD$15,F36&lt;$AB$17,$AD$16,F36&gt;=$AB$17,$AD$17)</v>
      </c>
    </row>
    <row r="37" spans="1:26" ht="15" thickBot="1">
      <c r="A37" s="33" t="s">
        <v>214</v>
      </c>
      <c r="B37" s="34">
        <v>44364</v>
      </c>
      <c r="C37" s="33" t="s">
        <v>199</v>
      </c>
      <c r="D37" s="33" t="s">
        <v>170</v>
      </c>
      <c r="E37" s="33" t="s">
        <v>158</v>
      </c>
      <c r="F37" s="45">
        <v>394736</v>
      </c>
      <c r="G37" s="47" t="str">
        <f t="shared" si="0"/>
        <v>Commission</v>
      </c>
      <c r="H37" s="50" t="str">
        <f t="shared" ca="1" si="1"/>
        <v>=IF(F37&gt;200000,"Commission","No-Commission")</v>
      </c>
      <c r="I37" s="48">
        <f t="shared" si="2"/>
        <v>39473.600000000006</v>
      </c>
      <c r="J37" s="50" t="str">
        <f t="shared" ca="1" si="1"/>
        <v>=IF(F37&gt;200000,10%*F37,0%)</v>
      </c>
      <c r="K37" s="35" t="str">
        <f t="shared" si="3"/>
        <v>-</v>
      </c>
      <c r="L37" s="50" t="str">
        <f t="shared" ref="L37:N37" ca="1" si="146">IFERROR(_xlfn.FORMULATEXT(K37),"")</f>
        <v>=IF(AND(D37="Laptop",E37="Apple"),10%,"-")</v>
      </c>
      <c r="M37" s="45" t="str">
        <f t="shared" si="5"/>
        <v>No-Commission</v>
      </c>
      <c r="N37" s="50" t="str">
        <f t="shared" ca="1" si="146"/>
        <v>=IF(OR(C37="Delhi",D37="Laptop"),"Commission","No-Commission")</v>
      </c>
      <c r="O37" s="45">
        <f t="shared" si="6"/>
        <v>0</v>
      </c>
      <c r="P37" s="50" t="str">
        <f t="shared" ref="P37:R37" ca="1" si="147">IFERROR(_xlfn.FORMULATEXT(O37),"")</f>
        <v>=IF(AND(D37="laptop",E37="apple"),F37*10%,0)</v>
      </c>
      <c r="Q37" s="45">
        <f t="shared" si="8"/>
        <v>0</v>
      </c>
      <c r="R37" s="50" t="str">
        <f t="shared" ca="1" si="147"/>
        <v>=IF(OR(D37="laptop",C37="delhi"),F37*10%,0)</v>
      </c>
      <c r="S37" s="45">
        <f t="shared" si="9"/>
        <v>0</v>
      </c>
      <c r="T37" s="50" t="str">
        <f t="shared" ref="T37:V37" ca="1" si="148">IFERROR(_xlfn.FORMULATEXT(S37),"")</f>
        <v>=IF(AND(D37="laptop",OR(E37="samsung",E37="Apple")),F37*10%,0)</v>
      </c>
      <c r="U37" s="57">
        <f t="shared" si="11"/>
        <v>19737</v>
      </c>
      <c r="V37" s="50" t="str">
        <f t="shared" ca="1" si="148"/>
        <v>=IFERROR(ROUND(IF(C37="Mumbai","-",F37*5%),0),"-")</v>
      </c>
      <c r="W37" s="35">
        <f t="shared" si="12"/>
        <v>0.05</v>
      </c>
      <c r="X37" s="50" t="str">
        <f t="shared" ref="X37:Z37" ca="1" si="149">IFERROR(_xlfn.FORMULATEXT(W37),"")</f>
        <v>=IF(F37&lt;=200000,3%,IF(F37&lt;=300000,4%,IF(F37&lt;=400000,5%,IF(F37&lt;=500000,6%,10%))))</v>
      </c>
      <c r="Y37" s="35" cm="1">
        <f t="array" ref="Y37">_xlfn.IFS(F37&lt;$AB$14,$AD$13,F37&lt;$AB$15,$AD$14,F37&lt;$AB$16,$AD$15,F37&lt;$AB$17,$AD$16,F37&gt;=$AB$17,$AD$17)</f>
        <v>0.05</v>
      </c>
      <c r="Z37" s="50" t="str">
        <f t="shared" ca="1" si="149"/>
        <v>=IFS(F37&lt;$AB$14,$AD$13,F37&lt;$AB$15,$AD$14,F37&lt;$AB$16,$AD$15,F37&lt;$AB$17,$AD$16,F37&gt;=$AB$17,$AD$17)</v>
      </c>
    </row>
    <row r="38" spans="1:26" ht="15" thickBot="1">
      <c r="A38" s="33" t="s">
        <v>215</v>
      </c>
      <c r="B38" s="34">
        <v>44620</v>
      </c>
      <c r="C38" s="33" t="s">
        <v>197</v>
      </c>
      <c r="D38" s="33" t="s">
        <v>170</v>
      </c>
      <c r="E38" s="33" t="s">
        <v>158</v>
      </c>
      <c r="F38" s="45">
        <v>289678</v>
      </c>
      <c r="G38" s="47" t="str">
        <f t="shared" si="0"/>
        <v>Commission</v>
      </c>
      <c r="H38" s="50" t="str">
        <f t="shared" ca="1" si="1"/>
        <v>=IF(F38&gt;200000,"Commission","No-Commission")</v>
      </c>
      <c r="I38" s="48">
        <f t="shared" si="2"/>
        <v>28967.800000000003</v>
      </c>
      <c r="J38" s="50" t="str">
        <f t="shared" ca="1" si="1"/>
        <v>=IF(F38&gt;200000,10%*F38,0%)</v>
      </c>
      <c r="K38" s="35" t="str">
        <f t="shared" si="3"/>
        <v>-</v>
      </c>
      <c r="L38" s="50" t="str">
        <f t="shared" ref="L38:N38" ca="1" si="150">IFERROR(_xlfn.FORMULATEXT(K38),"")</f>
        <v>=IF(AND(D38="Laptop",E38="Apple"),10%,"-")</v>
      </c>
      <c r="M38" s="45" t="str">
        <f t="shared" si="5"/>
        <v>No-Commission</v>
      </c>
      <c r="N38" s="50" t="str">
        <f t="shared" ca="1" si="150"/>
        <v>=IF(OR(C38="Delhi",D38="Laptop"),"Commission","No-Commission")</v>
      </c>
      <c r="O38" s="45">
        <f t="shared" si="6"/>
        <v>0</v>
      </c>
      <c r="P38" s="50" t="str">
        <f t="shared" ref="P38:R38" ca="1" si="151">IFERROR(_xlfn.FORMULATEXT(O38),"")</f>
        <v>=IF(AND(D38="laptop",E38="apple"),F38*10%,0)</v>
      </c>
      <c r="Q38" s="45">
        <f t="shared" si="8"/>
        <v>0</v>
      </c>
      <c r="R38" s="50" t="str">
        <f t="shared" ca="1" si="151"/>
        <v>=IF(OR(D38="laptop",C38="delhi"),F38*10%,0)</v>
      </c>
      <c r="S38" s="45">
        <f t="shared" si="9"/>
        <v>0</v>
      </c>
      <c r="T38" s="50" t="str">
        <f t="shared" ref="T38:V38" ca="1" si="152">IFERROR(_xlfn.FORMULATEXT(S38),"")</f>
        <v>=IF(AND(D38="laptop",OR(E38="samsung",E38="Apple")),F38*10%,0)</v>
      </c>
      <c r="U38" s="57">
        <f t="shared" si="11"/>
        <v>14484</v>
      </c>
      <c r="V38" s="50" t="str">
        <f t="shared" ca="1" si="152"/>
        <v>=IFERROR(ROUND(IF(C38="Mumbai","-",F38*5%),0),"-")</v>
      </c>
      <c r="W38" s="35">
        <f t="shared" si="12"/>
        <v>0.04</v>
      </c>
      <c r="X38" s="50" t="str">
        <f t="shared" ref="X38:Z38" ca="1" si="153">IFERROR(_xlfn.FORMULATEXT(W38),"")</f>
        <v>=IF(F38&lt;=200000,3%,IF(F38&lt;=300000,4%,IF(F38&lt;=400000,5%,IF(F38&lt;=500000,6%,10%))))</v>
      </c>
      <c r="Y38" s="35" cm="1">
        <f t="array" ref="Y38">_xlfn.IFS(F38&lt;$AB$14,$AD$13,F38&lt;$AB$15,$AD$14,F38&lt;$AB$16,$AD$15,F38&lt;$AB$17,$AD$16,F38&gt;=$AB$17,$AD$17)</f>
        <v>0.04</v>
      </c>
      <c r="Z38" s="50" t="str">
        <f t="shared" ca="1" si="153"/>
        <v>=IFS(F38&lt;$AB$14,$AD$13,F38&lt;$AB$15,$AD$14,F38&lt;$AB$16,$AD$15,F38&lt;$AB$17,$AD$16,F38&gt;=$AB$17,$AD$17)</v>
      </c>
    </row>
    <row r="39" spans="1:26" ht="15" thickBot="1">
      <c r="A39" s="33" t="s">
        <v>216</v>
      </c>
      <c r="B39" s="34">
        <v>44574</v>
      </c>
      <c r="C39" s="33" t="s">
        <v>197</v>
      </c>
      <c r="D39" s="33" t="s">
        <v>170</v>
      </c>
      <c r="E39" s="33" t="s">
        <v>158</v>
      </c>
      <c r="F39" s="45">
        <v>311501</v>
      </c>
      <c r="G39" s="47" t="str">
        <f t="shared" si="0"/>
        <v>Commission</v>
      </c>
      <c r="H39" s="50" t="str">
        <f t="shared" ca="1" si="1"/>
        <v>=IF(F39&gt;200000,"Commission","No-Commission")</v>
      </c>
      <c r="I39" s="48">
        <f t="shared" si="2"/>
        <v>31150.100000000002</v>
      </c>
      <c r="J39" s="50" t="str">
        <f t="shared" ca="1" si="1"/>
        <v>=IF(F39&gt;200000,10%*F39,0%)</v>
      </c>
      <c r="K39" s="35" t="str">
        <f t="shared" si="3"/>
        <v>-</v>
      </c>
      <c r="L39" s="50" t="str">
        <f t="shared" ref="L39:N39" ca="1" si="154">IFERROR(_xlfn.FORMULATEXT(K39),"")</f>
        <v>=IF(AND(D39="Laptop",E39="Apple"),10%,"-")</v>
      </c>
      <c r="M39" s="45" t="str">
        <f t="shared" si="5"/>
        <v>No-Commission</v>
      </c>
      <c r="N39" s="50" t="str">
        <f t="shared" ca="1" si="154"/>
        <v>=IF(OR(C39="Delhi",D39="Laptop"),"Commission","No-Commission")</v>
      </c>
      <c r="O39" s="45">
        <f t="shared" si="6"/>
        <v>0</v>
      </c>
      <c r="P39" s="50" t="str">
        <f t="shared" ref="P39:R39" ca="1" si="155">IFERROR(_xlfn.FORMULATEXT(O39),"")</f>
        <v>=IF(AND(D39="laptop",E39="apple"),F39*10%,0)</v>
      </c>
      <c r="Q39" s="45">
        <f t="shared" si="8"/>
        <v>0</v>
      </c>
      <c r="R39" s="50" t="str">
        <f t="shared" ca="1" si="155"/>
        <v>=IF(OR(D39="laptop",C39="delhi"),F39*10%,0)</v>
      </c>
      <c r="S39" s="45">
        <f t="shared" si="9"/>
        <v>0</v>
      </c>
      <c r="T39" s="50" t="str">
        <f t="shared" ref="T39:V39" ca="1" si="156">IFERROR(_xlfn.FORMULATEXT(S39),"")</f>
        <v>=IF(AND(D39="laptop",OR(E39="samsung",E39="Apple")),F39*10%,0)</v>
      </c>
      <c r="U39" s="57">
        <f t="shared" si="11"/>
        <v>15575</v>
      </c>
      <c r="V39" s="50" t="str">
        <f t="shared" ca="1" si="156"/>
        <v>=IFERROR(ROUND(IF(C39="Mumbai","-",F39*5%),0),"-")</v>
      </c>
      <c r="W39" s="35">
        <f t="shared" si="12"/>
        <v>0.05</v>
      </c>
      <c r="X39" s="50" t="str">
        <f t="shared" ref="X39:Z39" ca="1" si="157">IFERROR(_xlfn.FORMULATEXT(W39),"")</f>
        <v>=IF(F39&lt;=200000,3%,IF(F39&lt;=300000,4%,IF(F39&lt;=400000,5%,IF(F39&lt;=500000,6%,10%))))</v>
      </c>
      <c r="Y39" s="35" cm="1">
        <f t="array" ref="Y39">_xlfn.IFS(F39&lt;$AB$14,$AD$13,F39&lt;$AB$15,$AD$14,F39&lt;$AB$16,$AD$15,F39&lt;$AB$17,$AD$16,F39&gt;=$AB$17,$AD$17)</f>
        <v>0.05</v>
      </c>
      <c r="Z39" s="50" t="str">
        <f t="shared" ca="1" si="157"/>
        <v>=IFS(F39&lt;$AB$14,$AD$13,F39&lt;$AB$15,$AD$14,F39&lt;$AB$16,$AD$15,F39&lt;$AB$17,$AD$16,F39&gt;=$AB$17,$AD$17)</v>
      </c>
    </row>
    <row r="40" spans="1:26" ht="15" thickBot="1">
      <c r="A40" s="33" t="s">
        <v>217</v>
      </c>
      <c r="B40" s="34">
        <v>44358</v>
      </c>
      <c r="C40" s="33" t="s">
        <v>197</v>
      </c>
      <c r="D40" s="33" t="s">
        <v>157</v>
      </c>
      <c r="E40" s="33" t="s">
        <v>163</v>
      </c>
      <c r="F40" s="45">
        <v>470422</v>
      </c>
      <c r="G40" s="47" t="str">
        <f t="shared" si="0"/>
        <v>Commission</v>
      </c>
      <c r="H40" s="50" t="str">
        <f t="shared" ca="1" si="1"/>
        <v>=IF(F40&gt;200000,"Commission","No-Commission")</v>
      </c>
      <c r="I40" s="48">
        <f t="shared" si="2"/>
        <v>47042.200000000004</v>
      </c>
      <c r="J40" s="50" t="str">
        <f t="shared" ca="1" si="1"/>
        <v>=IF(F40&gt;200000,10%*F40,0%)</v>
      </c>
      <c r="K40" s="35" t="str">
        <f t="shared" si="3"/>
        <v>-</v>
      </c>
      <c r="L40" s="50" t="str">
        <f t="shared" ref="L40:N40" ca="1" si="158">IFERROR(_xlfn.FORMULATEXT(K40),"")</f>
        <v>=IF(AND(D40="Laptop",E40="Apple"),10%,"-")</v>
      </c>
      <c r="M40" s="45" t="str">
        <f t="shared" si="5"/>
        <v>Commission</v>
      </c>
      <c r="N40" s="50" t="str">
        <f t="shared" ca="1" si="158"/>
        <v>=IF(OR(C40="Delhi",D40="Laptop"),"Commission","No-Commission")</v>
      </c>
      <c r="O40" s="45">
        <f t="shared" si="6"/>
        <v>0</v>
      </c>
      <c r="P40" s="50" t="str">
        <f t="shared" ref="P40:R40" ca="1" si="159">IFERROR(_xlfn.FORMULATEXT(O40),"")</f>
        <v>=IF(AND(D40="laptop",E40="apple"),F40*10%,0)</v>
      </c>
      <c r="Q40" s="45">
        <f t="shared" si="8"/>
        <v>47042.200000000004</v>
      </c>
      <c r="R40" s="50" t="str">
        <f t="shared" ca="1" si="159"/>
        <v>=IF(OR(D40="laptop",C40="delhi"),F40*10%,0)</v>
      </c>
      <c r="S40" s="45">
        <f t="shared" si="9"/>
        <v>47042.200000000004</v>
      </c>
      <c r="T40" s="50" t="str">
        <f t="shared" ref="T40:V40" ca="1" si="160">IFERROR(_xlfn.FORMULATEXT(S40),"")</f>
        <v>=IF(AND(D40="laptop",OR(E40="samsung",E40="Apple")),F40*10%,0)</v>
      </c>
      <c r="U40" s="57">
        <f t="shared" si="11"/>
        <v>23521</v>
      </c>
      <c r="V40" s="50" t="str">
        <f t="shared" ca="1" si="160"/>
        <v>=IFERROR(ROUND(IF(C40="Mumbai","-",F40*5%),0),"-")</v>
      </c>
      <c r="W40" s="35">
        <f t="shared" si="12"/>
        <v>0.06</v>
      </c>
      <c r="X40" s="50" t="str">
        <f t="shared" ref="X40:Z40" ca="1" si="161">IFERROR(_xlfn.FORMULATEXT(W40),"")</f>
        <v>=IF(F40&lt;=200000,3%,IF(F40&lt;=300000,4%,IF(F40&lt;=400000,5%,IF(F40&lt;=500000,6%,10%))))</v>
      </c>
      <c r="Y40" s="35" cm="1">
        <f t="array" ref="Y40">_xlfn.IFS(F40&lt;$AB$14,$AD$13,F40&lt;$AB$15,$AD$14,F40&lt;$AB$16,$AD$15,F40&lt;$AB$17,$AD$16,F40&gt;=$AB$17,$AD$17)</f>
        <v>0.06</v>
      </c>
      <c r="Z40" s="50" t="str">
        <f t="shared" ca="1" si="161"/>
        <v>=IFS(F40&lt;$AB$14,$AD$13,F40&lt;$AB$15,$AD$14,F40&lt;$AB$16,$AD$15,F40&lt;$AB$17,$AD$16,F40&gt;=$AB$17,$AD$17)</v>
      </c>
    </row>
    <row r="41" spans="1:26" ht="15" thickBot="1">
      <c r="A41" s="33" t="s">
        <v>218</v>
      </c>
      <c r="B41" s="34">
        <v>44636</v>
      </c>
      <c r="C41" s="33" t="s">
        <v>205</v>
      </c>
      <c r="D41" s="33" t="s">
        <v>162</v>
      </c>
      <c r="E41" s="33" t="s">
        <v>121</v>
      </c>
      <c r="F41" s="45">
        <v>419842</v>
      </c>
      <c r="G41" s="47" t="str">
        <f t="shared" si="0"/>
        <v>Commission</v>
      </c>
      <c r="H41" s="50" t="str">
        <f t="shared" ca="1" si="1"/>
        <v>=IF(F41&gt;200000,"Commission","No-Commission")</v>
      </c>
      <c r="I41" s="48">
        <f t="shared" si="2"/>
        <v>41984.200000000004</v>
      </c>
      <c r="J41" s="50" t="str">
        <f t="shared" ca="1" si="1"/>
        <v>=IF(F41&gt;200000,10%*F41,0%)</v>
      </c>
      <c r="K41" s="35" t="str">
        <f t="shared" si="3"/>
        <v>-</v>
      </c>
      <c r="L41" s="50" t="str">
        <f t="shared" ref="L41:N41" ca="1" si="162">IFERROR(_xlfn.FORMULATEXT(K41),"")</f>
        <v>=IF(AND(D41="Laptop",E41="Apple"),10%,"-")</v>
      </c>
      <c r="M41" s="45" t="str">
        <f t="shared" si="5"/>
        <v>No-Commission</v>
      </c>
      <c r="N41" s="50" t="str">
        <f t="shared" ca="1" si="162"/>
        <v>=IF(OR(C41="Delhi",D41="Laptop"),"Commission","No-Commission")</v>
      </c>
      <c r="O41" s="45">
        <f t="shared" si="6"/>
        <v>0</v>
      </c>
      <c r="P41" s="50" t="str">
        <f t="shared" ref="P41:R41" ca="1" si="163">IFERROR(_xlfn.FORMULATEXT(O41),"")</f>
        <v>=IF(AND(D41="laptop",E41="apple"),F41*10%,0)</v>
      </c>
      <c r="Q41" s="45">
        <f t="shared" si="8"/>
        <v>0</v>
      </c>
      <c r="R41" s="50" t="str">
        <f t="shared" ca="1" si="163"/>
        <v>=IF(OR(D41="laptop",C41="delhi"),F41*10%,0)</v>
      </c>
      <c r="S41" s="45">
        <f t="shared" si="9"/>
        <v>0</v>
      </c>
      <c r="T41" s="50" t="str">
        <f t="shared" ref="T41:V41" ca="1" si="164">IFERROR(_xlfn.FORMULATEXT(S41),"")</f>
        <v>=IF(AND(D41="laptop",OR(E41="samsung",E41="Apple")),F41*10%,0)</v>
      </c>
      <c r="U41" s="57">
        <f t="shared" si="11"/>
        <v>20992</v>
      </c>
      <c r="V41" s="50" t="str">
        <f t="shared" ca="1" si="164"/>
        <v>=IFERROR(ROUND(IF(C41="Mumbai","-",F41*5%),0),"-")</v>
      </c>
      <c r="W41" s="35">
        <f t="shared" si="12"/>
        <v>0.06</v>
      </c>
      <c r="X41" s="50" t="str">
        <f t="shared" ref="X41:Z41" ca="1" si="165">IFERROR(_xlfn.FORMULATEXT(W41),"")</f>
        <v>=IF(F41&lt;=200000,3%,IF(F41&lt;=300000,4%,IF(F41&lt;=400000,5%,IF(F41&lt;=500000,6%,10%))))</v>
      </c>
      <c r="Y41" s="35" cm="1">
        <f t="array" ref="Y41">_xlfn.IFS(F41&lt;$AB$14,$AD$13,F41&lt;$AB$15,$AD$14,F41&lt;$AB$16,$AD$15,F41&lt;$AB$17,$AD$16,F41&gt;=$AB$17,$AD$17)</f>
        <v>0.06</v>
      </c>
      <c r="Z41" s="50" t="str">
        <f t="shared" ca="1" si="165"/>
        <v>=IFS(F41&lt;$AB$14,$AD$13,F41&lt;$AB$15,$AD$14,F41&lt;$AB$16,$AD$15,F41&lt;$AB$17,$AD$16,F41&gt;=$AB$17,$AD$17)</v>
      </c>
    </row>
    <row r="42" spans="1:26" ht="15" thickBot="1">
      <c r="A42" s="33" t="s">
        <v>219</v>
      </c>
      <c r="B42" s="34">
        <v>44431</v>
      </c>
      <c r="C42" s="33" t="s">
        <v>205</v>
      </c>
      <c r="D42" s="33" t="s">
        <v>157</v>
      </c>
      <c r="E42" s="33" t="s">
        <v>121</v>
      </c>
      <c r="F42" s="45">
        <v>213748</v>
      </c>
      <c r="G42" s="47" t="str">
        <f t="shared" si="0"/>
        <v>Commission</v>
      </c>
      <c r="H42" s="50" t="str">
        <f t="shared" ca="1" si="1"/>
        <v>=IF(F42&gt;200000,"Commission","No-Commission")</v>
      </c>
      <c r="I42" s="48">
        <f t="shared" si="2"/>
        <v>21374.800000000003</v>
      </c>
      <c r="J42" s="50" t="str">
        <f t="shared" ca="1" si="1"/>
        <v>=IF(F42&gt;200000,10%*F42,0%)</v>
      </c>
      <c r="K42" s="35" t="str">
        <f t="shared" si="3"/>
        <v>-</v>
      </c>
      <c r="L42" s="50" t="str">
        <f t="shared" ref="L42:N42" ca="1" si="166">IFERROR(_xlfn.FORMULATEXT(K42),"")</f>
        <v>=IF(AND(D42="Laptop",E42="Apple"),10%,"-")</v>
      </c>
      <c r="M42" s="45" t="str">
        <f t="shared" si="5"/>
        <v>Commission</v>
      </c>
      <c r="N42" s="50" t="str">
        <f t="shared" ca="1" si="166"/>
        <v>=IF(OR(C42="Delhi",D42="Laptop"),"Commission","No-Commission")</v>
      </c>
      <c r="O42" s="45">
        <f t="shared" si="6"/>
        <v>0</v>
      </c>
      <c r="P42" s="50" t="str">
        <f t="shared" ref="P42:R42" ca="1" si="167">IFERROR(_xlfn.FORMULATEXT(O42),"")</f>
        <v>=IF(AND(D42="laptop",E42="apple"),F42*10%,0)</v>
      </c>
      <c r="Q42" s="45">
        <f t="shared" si="8"/>
        <v>21374.800000000003</v>
      </c>
      <c r="R42" s="50" t="str">
        <f t="shared" ca="1" si="167"/>
        <v>=IF(OR(D42="laptop",C42="delhi"),F42*10%,0)</v>
      </c>
      <c r="S42" s="45">
        <f t="shared" si="9"/>
        <v>0</v>
      </c>
      <c r="T42" s="50" t="str">
        <f t="shared" ref="T42:V42" ca="1" si="168">IFERROR(_xlfn.FORMULATEXT(S42),"")</f>
        <v>=IF(AND(D42="laptop",OR(E42="samsung",E42="Apple")),F42*10%,0)</v>
      </c>
      <c r="U42" s="57">
        <f t="shared" si="11"/>
        <v>10687</v>
      </c>
      <c r="V42" s="50" t="str">
        <f t="shared" ca="1" si="168"/>
        <v>=IFERROR(ROUND(IF(C42="Mumbai","-",F42*5%),0),"-")</v>
      </c>
      <c r="W42" s="35">
        <f t="shared" si="12"/>
        <v>0.04</v>
      </c>
      <c r="X42" s="50" t="str">
        <f t="shared" ref="X42:Z42" ca="1" si="169">IFERROR(_xlfn.FORMULATEXT(W42),"")</f>
        <v>=IF(F42&lt;=200000,3%,IF(F42&lt;=300000,4%,IF(F42&lt;=400000,5%,IF(F42&lt;=500000,6%,10%))))</v>
      </c>
      <c r="Y42" s="35" cm="1">
        <f t="array" ref="Y42">_xlfn.IFS(F42&lt;$AB$14,$AD$13,F42&lt;$AB$15,$AD$14,F42&lt;$AB$16,$AD$15,F42&lt;$AB$17,$AD$16,F42&gt;=$AB$17,$AD$17)</f>
        <v>0.04</v>
      </c>
      <c r="Z42" s="50" t="str">
        <f t="shared" ca="1" si="169"/>
        <v>=IFS(F42&lt;$AB$14,$AD$13,F42&lt;$AB$15,$AD$14,F42&lt;$AB$16,$AD$15,F42&lt;$AB$17,$AD$16,F42&gt;=$AB$17,$AD$17)</v>
      </c>
    </row>
    <row r="43" spans="1:26" ht="15" thickBot="1">
      <c r="A43" s="33" t="s">
        <v>220</v>
      </c>
      <c r="B43" s="34">
        <v>44379</v>
      </c>
      <c r="C43" s="33" t="s">
        <v>199</v>
      </c>
      <c r="D43" s="33" t="s">
        <v>162</v>
      </c>
      <c r="E43" s="33" t="s">
        <v>163</v>
      </c>
      <c r="F43" s="45">
        <v>493013</v>
      </c>
      <c r="G43" s="47" t="str">
        <f t="shared" si="0"/>
        <v>Commission</v>
      </c>
      <c r="H43" s="50" t="str">
        <f t="shared" ca="1" si="1"/>
        <v>=IF(F43&gt;200000,"Commission","No-Commission")</v>
      </c>
      <c r="I43" s="48">
        <f t="shared" si="2"/>
        <v>49301.3</v>
      </c>
      <c r="J43" s="50" t="str">
        <f t="shared" ca="1" si="1"/>
        <v>=IF(F43&gt;200000,10%*F43,0%)</v>
      </c>
      <c r="K43" s="35" t="str">
        <f t="shared" si="3"/>
        <v>-</v>
      </c>
      <c r="L43" s="50" t="str">
        <f t="shared" ref="L43:N43" ca="1" si="170">IFERROR(_xlfn.FORMULATEXT(K43),"")</f>
        <v>=IF(AND(D43="Laptop",E43="Apple"),10%,"-")</v>
      </c>
      <c r="M43" s="45" t="str">
        <f t="shared" si="5"/>
        <v>No-Commission</v>
      </c>
      <c r="N43" s="50" t="str">
        <f t="shared" ca="1" si="170"/>
        <v>=IF(OR(C43="Delhi",D43="Laptop"),"Commission","No-Commission")</v>
      </c>
      <c r="O43" s="45">
        <f t="shared" si="6"/>
        <v>0</v>
      </c>
      <c r="P43" s="50" t="str">
        <f t="shared" ref="P43:R43" ca="1" si="171">IFERROR(_xlfn.FORMULATEXT(O43),"")</f>
        <v>=IF(AND(D43="laptop",E43="apple"),F43*10%,0)</v>
      </c>
      <c r="Q43" s="45">
        <f t="shared" si="8"/>
        <v>0</v>
      </c>
      <c r="R43" s="50" t="str">
        <f t="shared" ca="1" si="171"/>
        <v>=IF(OR(D43="laptop",C43="delhi"),F43*10%,0)</v>
      </c>
      <c r="S43" s="45">
        <f t="shared" si="9"/>
        <v>0</v>
      </c>
      <c r="T43" s="50" t="str">
        <f t="shared" ref="T43:V43" ca="1" si="172">IFERROR(_xlfn.FORMULATEXT(S43),"")</f>
        <v>=IF(AND(D43="laptop",OR(E43="samsung",E43="Apple")),F43*10%,0)</v>
      </c>
      <c r="U43" s="57">
        <f t="shared" si="11"/>
        <v>24651</v>
      </c>
      <c r="V43" s="50" t="str">
        <f t="shared" ca="1" si="172"/>
        <v>=IFERROR(ROUND(IF(C43="Mumbai","-",F43*5%),0),"-")</v>
      </c>
      <c r="W43" s="35">
        <f t="shared" si="12"/>
        <v>0.06</v>
      </c>
      <c r="X43" s="50" t="str">
        <f t="shared" ref="X43:Z43" ca="1" si="173">IFERROR(_xlfn.FORMULATEXT(W43),"")</f>
        <v>=IF(F43&lt;=200000,3%,IF(F43&lt;=300000,4%,IF(F43&lt;=400000,5%,IF(F43&lt;=500000,6%,10%))))</v>
      </c>
      <c r="Y43" s="35" cm="1">
        <f t="array" ref="Y43">_xlfn.IFS(F43&lt;$AB$14,$AD$13,F43&lt;$AB$15,$AD$14,F43&lt;$AB$16,$AD$15,F43&lt;$AB$17,$AD$16,F43&gt;=$AB$17,$AD$17)</f>
        <v>0.06</v>
      </c>
      <c r="Z43" s="50" t="str">
        <f t="shared" ca="1" si="173"/>
        <v>=IFS(F43&lt;$AB$14,$AD$13,F43&lt;$AB$15,$AD$14,F43&lt;$AB$16,$AD$15,F43&lt;$AB$17,$AD$16,F43&gt;=$AB$17,$AD$17)</v>
      </c>
    </row>
    <row r="44" spans="1:26" ht="15" thickBot="1">
      <c r="A44" s="33" t="s">
        <v>221</v>
      </c>
      <c r="B44" s="34">
        <v>44418</v>
      </c>
      <c r="C44" s="33" t="s">
        <v>211</v>
      </c>
      <c r="D44" s="33" t="s">
        <v>157</v>
      </c>
      <c r="E44" s="33" t="s">
        <v>158</v>
      </c>
      <c r="F44" s="45">
        <v>124833</v>
      </c>
      <c r="G44" s="47" t="str">
        <f t="shared" si="0"/>
        <v>No-Commission</v>
      </c>
      <c r="H44" s="50" t="str">
        <f t="shared" ca="1" si="1"/>
        <v>=IF(F44&gt;200000,"Commission","No-Commission")</v>
      </c>
      <c r="I44" s="48">
        <f t="shared" si="2"/>
        <v>0</v>
      </c>
      <c r="J44" s="50" t="str">
        <f t="shared" ca="1" si="1"/>
        <v>=IF(F44&gt;200000,10%*F44,0%)</v>
      </c>
      <c r="K44" s="35">
        <f t="shared" si="3"/>
        <v>0.1</v>
      </c>
      <c r="L44" s="50" t="str">
        <f t="shared" ref="L44:N44" ca="1" si="174">IFERROR(_xlfn.FORMULATEXT(K44),"")</f>
        <v>=IF(AND(D44="Laptop",E44="Apple"),10%,"-")</v>
      </c>
      <c r="M44" s="45" t="str">
        <f t="shared" si="5"/>
        <v>Commission</v>
      </c>
      <c r="N44" s="50" t="str">
        <f t="shared" ca="1" si="174"/>
        <v>=IF(OR(C44="Delhi",D44="Laptop"),"Commission","No-Commission")</v>
      </c>
      <c r="O44" s="45">
        <f t="shared" si="6"/>
        <v>12483.300000000001</v>
      </c>
      <c r="P44" s="50" t="str">
        <f t="shared" ref="P44:R44" ca="1" si="175">IFERROR(_xlfn.FORMULATEXT(O44),"")</f>
        <v>=IF(AND(D44="laptop",E44="apple"),F44*10%,0)</v>
      </c>
      <c r="Q44" s="45">
        <f t="shared" si="8"/>
        <v>12483.300000000001</v>
      </c>
      <c r="R44" s="50" t="str">
        <f t="shared" ca="1" si="175"/>
        <v>=IF(OR(D44="laptop",C44="delhi"),F44*10%,0)</v>
      </c>
      <c r="S44" s="45">
        <f t="shared" si="9"/>
        <v>12483.300000000001</v>
      </c>
      <c r="T44" s="50" t="str">
        <f t="shared" ref="T44:V44" ca="1" si="176">IFERROR(_xlfn.FORMULATEXT(S44),"")</f>
        <v>=IF(AND(D44="laptop",OR(E44="samsung",E44="Apple")),F44*10%,0)</v>
      </c>
      <c r="U44" s="57">
        <f t="shared" si="11"/>
        <v>6242</v>
      </c>
      <c r="V44" s="50" t="str">
        <f t="shared" ca="1" si="176"/>
        <v>=IFERROR(ROUND(IF(C44="Mumbai","-",F44*5%),0),"-")</v>
      </c>
      <c r="W44" s="35">
        <f t="shared" si="12"/>
        <v>0.03</v>
      </c>
      <c r="X44" s="50" t="str">
        <f t="shared" ref="X44:Z44" ca="1" si="177">IFERROR(_xlfn.FORMULATEXT(W44),"")</f>
        <v>=IF(F44&lt;=200000,3%,IF(F44&lt;=300000,4%,IF(F44&lt;=400000,5%,IF(F44&lt;=500000,6%,10%))))</v>
      </c>
      <c r="Y44" s="35" cm="1">
        <f t="array" ref="Y44">_xlfn.IFS(F44&lt;$AB$14,$AD$13,F44&lt;$AB$15,$AD$14,F44&lt;$AB$16,$AD$15,F44&lt;$AB$17,$AD$16,F44&gt;=$AB$17,$AD$17)</f>
        <v>0.03</v>
      </c>
      <c r="Z44" s="50" t="str">
        <f t="shared" ca="1" si="177"/>
        <v>=IFS(F44&lt;$AB$14,$AD$13,F44&lt;$AB$15,$AD$14,F44&lt;$AB$16,$AD$15,F44&lt;$AB$17,$AD$16,F44&gt;=$AB$17,$AD$17)</v>
      </c>
    </row>
    <row r="45" spans="1:26" ht="15" thickBot="1">
      <c r="A45" s="33" t="s">
        <v>222</v>
      </c>
      <c r="B45" s="34">
        <v>44624</v>
      </c>
      <c r="C45" s="33" t="s">
        <v>205</v>
      </c>
      <c r="D45" s="33" t="s">
        <v>162</v>
      </c>
      <c r="E45" s="33" t="s">
        <v>163</v>
      </c>
      <c r="F45" s="45">
        <v>132529</v>
      </c>
      <c r="G45" s="47" t="str">
        <f t="shared" si="0"/>
        <v>No-Commission</v>
      </c>
      <c r="H45" s="50" t="str">
        <f t="shared" ca="1" si="1"/>
        <v>=IF(F45&gt;200000,"Commission","No-Commission")</v>
      </c>
      <c r="I45" s="48">
        <f t="shared" si="2"/>
        <v>0</v>
      </c>
      <c r="J45" s="50" t="str">
        <f t="shared" ca="1" si="1"/>
        <v>=IF(F45&gt;200000,10%*F45,0%)</v>
      </c>
      <c r="K45" s="35" t="str">
        <f t="shared" si="3"/>
        <v>-</v>
      </c>
      <c r="L45" s="50" t="str">
        <f t="shared" ref="L45:N45" ca="1" si="178">IFERROR(_xlfn.FORMULATEXT(K45),"")</f>
        <v>=IF(AND(D45="Laptop",E45="Apple"),10%,"-")</v>
      </c>
      <c r="M45" s="45" t="str">
        <f t="shared" si="5"/>
        <v>No-Commission</v>
      </c>
      <c r="N45" s="50" t="str">
        <f t="shared" ca="1" si="178"/>
        <v>=IF(OR(C45="Delhi",D45="Laptop"),"Commission","No-Commission")</v>
      </c>
      <c r="O45" s="45">
        <f t="shared" si="6"/>
        <v>0</v>
      </c>
      <c r="P45" s="50" t="str">
        <f t="shared" ref="P45:R45" ca="1" si="179">IFERROR(_xlfn.FORMULATEXT(O45),"")</f>
        <v>=IF(AND(D45="laptop",E45="apple"),F45*10%,0)</v>
      </c>
      <c r="Q45" s="45">
        <f t="shared" si="8"/>
        <v>0</v>
      </c>
      <c r="R45" s="50" t="str">
        <f t="shared" ca="1" si="179"/>
        <v>=IF(OR(D45="laptop",C45="delhi"),F45*10%,0)</v>
      </c>
      <c r="S45" s="45">
        <f t="shared" si="9"/>
        <v>0</v>
      </c>
      <c r="T45" s="50" t="str">
        <f t="shared" ref="T45:V45" ca="1" si="180">IFERROR(_xlfn.FORMULATEXT(S45),"")</f>
        <v>=IF(AND(D45="laptop",OR(E45="samsung",E45="Apple")),F45*10%,0)</v>
      </c>
      <c r="U45" s="57">
        <f t="shared" si="11"/>
        <v>6626</v>
      </c>
      <c r="V45" s="50" t="str">
        <f t="shared" ca="1" si="180"/>
        <v>=IFERROR(ROUND(IF(C45="Mumbai","-",F45*5%),0),"-")</v>
      </c>
      <c r="W45" s="35">
        <f t="shared" si="12"/>
        <v>0.03</v>
      </c>
      <c r="X45" s="50" t="str">
        <f t="shared" ref="X45:Z45" ca="1" si="181">IFERROR(_xlfn.FORMULATEXT(W45),"")</f>
        <v>=IF(F45&lt;=200000,3%,IF(F45&lt;=300000,4%,IF(F45&lt;=400000,5%,IF(F45&lt;=500000,6%,10%))))</v>
      </c>
      <c r="Y45" s="35" cm="1">
        <f t="array" ref="Y45">_xlfn.IFS(F45&lt;$AB$14,$AD$13,F45&lt;$AB$15,$AD$14,F45&lt;$AB$16,$AD$15,F45&lt;$AB$17,$AD$16,F45&gt;=$AB$17,$AD$17)</f>
        <v>0.03</v>
      </c>
      <c r="Z45" s="50" t="str">
        <f t="shared" ca="1" si="181"/>
        <v>=IFS(F45&lt;$AB$14,$AD$13,F45&lt;$AB$15,$AD$14,F45&lt;$AB$16,$AD$15,F45&lt;$AB$17,$AD$16,F45&gt;=$AB$17,$AD$17)</v>
      </c>
    </row>
    <row r="46" spans="1:26" ht="15" thickBot="1">
      <c r="A46" s="33" t="s">
        <v>223</v>
      </c>
      <c r="B46" s="34">
        <v>44575</v>
      </c>
      <c r="C46" s="33" t="s">
        <v>199</v>
      </c>
      <c r="D46" s="33" t="s">
        <v>157</v>
      </c>
      <c r="E46" s="33" t="s">
        <v>158</v>
      </c>
      <c r="F46" s="45">
        <v>517324</v>
      </c>
      <c r="G46" s="47" t="str">
        <f t="shared" si="0"/>
        <v>Commission</v>
      </c>
      <c r="H46" s="50" t="str">
        <f t="shared" ca="1" si="1"/>
        <v>=IF(F46&gt;200000,"Commission","No-Commission")</v>
      </c>
      <c r="I46" s="48">
        <f t="shared" si="2"/>
        <v>51732.4</v>
      </c>
      <c r="J46" s="50" t="str">
        <f t="shared" ca="1" si="1"/>
        <v>=IF(F46&gt;200000,10%*F46,0%)</v>
      </c>
      <c r="K46" s="35">
        <f t="shared" si="3"/>
        <v>0.1</v>
      </c>
      <c r="L46" s="50" t="str">
        <f t="shared" ref="L46:N46" ca="1" si="182">IFERROR(_xlfn.FORMULATEXT(K46),"")</f>
        <v>=IF(AND(D46="Laptop",E46="Apple"),10%,"-")</v>
      </c>
      <c r="M46" s="45" t="str">
        <f t="shared" si="5"/>
        <v>Commission</v>
      </c>
      <c r="N46" s="50" t="str">
        <f t="shared" ca="1" si="182"/>
        <v>=IF(OR(C46="Delhi",D46="Laptop"),"Commission","No-Commission")</v>
      </c>
      <c r="O46" s="45">
        <f t="shared" si="6"/>
        <v>51732.4</v>
      </c>
      <c r="P46" s="50" t="str">
        <f t="shared" ref="P46:R46" ca="1" si="183">IFERROR(_xlfn.FORMULATEXT(O46),"")</f>
        <v>=IF(AND(D46="laptop",E46="apple"),F46*10%,0)</v>
      </c>
      <c r="Q46" s="45">
        <f t="shared" si="8"/>
        <v>51732.4</v>
      </c>
      <c r="R46" s="50" t="str">
        <f t="shared" ca="1" si="183"/>
        <v>=IF(OR(D46="laptop",C46="delhi"),F46*10%,0)</v>
      </c>
      <c r="S46" s="45">
        <f t="shared" si="9"/>
        <v>51732.4</v>
      </c>
      <c r="T46" s="50" t="str">
        <f t="shared" ref="T46:V46" ca="1" si="184">IFERROR(_xlfn.FORMULATEXT(S46),"")</f>
        <v>=IF(AND(D46="laptop",OR(E46="samsung",E46="Apple")),F46*10%,0)</v>
      </c>
      <c r="U46" s="57">
        <f t="shared" si="11"/>
        <v>25866</v>
      </c>
      <c r="V46" s="50" t="str">
        <f t="shared" ca="1" si="184"/>
        <v>=IFERROR(ROUND(IF(C46="Mumbai","-",F46*5%),0),"-")</v>
      </c>
      <c r="W46" s="35">
        <f t="shared" si="12"/>
        <v>0.1</v>
      </c>
      <c r="X46" s="50" t="str">
        <f t="shared" ref="X46:Z46" ca="1" si="185">IFERROR(_xlfn.FORMULATEXT(W46),"")</f>
        <v>=IF(F46&lt;=200000,3%,IF(F46&lt;=300000,4%,IF(F46&lt;=400000,5%,IF(F46&lt;=500000,6%,10%))))</v>
      </c>
      <c r="Y46" s="35" cm="1">
        <f t="array" ref="Y46">_xlfn.IFS(F46&lt;$AB$14,$AD$13,F46&lt;$AB$15,$AD$14,F46&lt;$AB$16,$AD$15,F46&lt;$AB$17,$AD$16,F46&gt;=$AB$17,$AD$17)</f>
        <v>0.1</v>
      </c>
      <c r="Z46" s="50" t="str">
        <f t="shared" ca="1" si="185"/>
        <v>=IFS(F46&lt;$AB$14,$AD$13,F46&lt;$AB$15,$AD$14,F46&lt;$AB$16,$AD$15,F46&lt;$AB$17,$AD$16,F46&gt;=$AB$17,$AD$17)</v>
      </c>
    </row>
    <row r="47" spans="1:26" ht="15" thickBot="1">
      <c r="A47" s="33" t="s">
        <v>224</v>
      </c>
      <c r="B47" s="34">
        <v>44341</v>
      </c>
      <c r="C47" s="33" t="s">
        <v>197</v>
      </c>
      <c r="D47" s="33" t="s">
        <v>162</v>
      </c>
      <c r="E47" s="33" t="s">
        <v>163</v>
      </c>
      <c r="F47" s="45">
        <v>110337</v>
      </c>
      <c r="G47" s="47" t="str">
        <f t="shared" si="0"/>
        <v>No-Commission</v>
      </c>
      <c r="H47" s="50" t="str">
        <f t="shared" ca="1" si="1"/>
        <v>=IF(F47&gt;200000,"Commission","No-Commission")</v>
      </c>
      <c r="I47" s="48">
        <f t="shared" si="2"/>
        <v>0</v>
      </c>
      <c r="J47" s="50" t="str">
        <f t="shared" ca="1" si="1"/>
        <v>=IF(F47&gt;200000,10%*F47,0%)</v>
      </c>
      <c r="K47" s="35" t="str">
        <f t="shared" si="3"/>
        <v>-</v>
      </c>
      <c r="L47" s="50" t="str">
        <f t="shared" ref="L47:N47" ca="1" si="186">IFERROR(_xlfn.FORMULATEXT(K47),"")</f>
        <v>=IF(AND(D47="Laptop",E47="Apple"),10%,"-")</v>
      </c>
      <c r="M47" s="45" t="str">
        <f t="shared" si="5"/>
        <v>No-Commission</v>
      </c>
      <c r="N47" s="50" t="str">
        <f t="shared" ca="1" si="186"/>
        <v>=IF(OR(C47="Delhi",D47="Laptop"),"Commission","No-Commission")</v>
      </c>
      <c r="O47" s="45">
        <f t="shared" si="6"/>
        <v>0</v>
      </c>
      <c r="P47" s="50" t="str">
        <f t="shared" ref="P47:R47" ca="1" si="187">IFERROR(_xlfn.FORMULATEXT(O47),"")</f>
        <v>=IF(AND(D47="laptop",E47="apple"),F47*10%,0)</v>
      </c>
      <c r="Q47" s="45">
        <f t="shared" si="8"/>
        <v>0</v>
      </c>
      <c r="R47" s="50" t="str">
        <f t="shared" ca="1" si="187"/>
        <v>=IF(OR(D47="laptop",C47="delhi"),F47*10%,0)</v>
      </c>
      <c r="S47" s="45">
        <f t="shared" si="9"/>
        <v>0</v>
      </c>
      <c r="T47" s="50" t="str">
        <f t="shared" ref="T47:V47" ca="1" si="188">IFERROR(_xlfn.FORMULATEXT(S47),"")</f>
        <v>=IF(AND(D47="laptop",OR(E47="samsung",E47="Apple")),F47*10%,0)</v>
      </c>
      <c r="U47" s="57">
        <f t="shared" si="11"/>
        <v>5517</v>
      </c>
      <c r="V47" s="50" t="str">
        <f t="shared" ca="1" si="188"/>
        <v>=IFERROR(ROUND(IF(C47="Mumbai","-",F47*5%),0),"-")</v>
      </c>
      <c r="W47" s="35">
        <f t="shared" si="12"/>
        <v>0.03</v>
      </c>
      <c r="X47" s="50" t="str">
        <f t="shared" ref="X47:Z47" ca="1" si="189">IFERROR(_xlfn.FORMULATEXT(W47),"")</f>
        <v>=IF(F47&lt;=200000,3%,IF(F47&lt;=300000,4%,IF(F47&lt;=400000,5%,IF(F47&lt;=500000,6%,10%))))</v>
      </c>
      <c r="Y47" s="35" cm="1">
        <f t="array" ref="Y47">_xlfn.IFS(F47&lt;$AB$14,$AD$13,F47&lt;$AB$15,$AD$14,F47&lt;$AB$16,$AD$15,F47&lt;$AB$17,$AD$16,F47&gt;=$AB$17,$AD$17)</f>
        <v>0.03</v>
      </c>
      <c r="Z47" s="50" t="str">
        <f t="shared" ca="1" si="189"/>
        <v>=IFS(F47&lt;$AB$14,$AD$13,F47&lt;$AB$15,$AD$14,F47&lt;$AB$16,$AD$15,F47&lt;$AB$17,$AD$16,F47&gt;=$AB$17,$AD$17)</v>
      </c>
    </row>
    <row r="48" spans="1:26" ht="15" thickBot="1">
      <c r="A48" s="33" t="s">
        <v>225</v>
      </c>
      <c r="B48" s="34">
        <v>44346</v>
      </c>
      <c r="C48" s="33" t="s">
        <v>205</v>
      </c>
      <c r="D48" s="33" t="s">
        <v>170</v>
      </c>
      <c r="E48" s="33" t="s">
        <v>158</v>
      </c>
      <c r="F48" s="45">
        <v>246001</v>
      </c>
      <c r="G48" s="47" t="str">
        <f t="shared" si="0"/>
        <v>Commission</v>
      </c>
      <c r="H48" s="50" t="str">
        <f t="shared" ca="1" si="1"/>
        <v>=IF(F48&gt;200000,"Commission","No-Commission")</v>
      </c>
      <c r="I48" s="48">
        <f t="shared" si="2"/>
        <v>24600.100000000002</v>
      </c>
      <c r="J48" s="50" t="str">
        <f t="shared" ca="1" si="1"/>
        <v>=IF(F48&gt;200000,10%*F48,0%)</v>
      </c>
      <c r="K48" s="35" t="str">
        <f t="shared" si="3"/>
        <v>-</v>
      </c>
      <c r="L48" s="50" t="str">
        <f t="shared" ref="L48:N48" ca="1" si="190">IFERROR(_xlfn.FORMULATEXT(K48),"")</f>
        <v>=IF(AND(D48="Laptop",E48="Apple"),10%,"-")</v>
      </c>
      <c r="M48" s="45" t="str">
        <f t="shared" si="5"/>
        <v>No-Commission</v>
      </c>
      <c r="N48" s="50" t="str">
        <f t="shared" ca="1" si="190"/>
        <v>=IF(OR(C48="Delhi",D48="Laptop"),"Commission","No-Commission")</v>
      </c>
      <c r="O48" s="45">
        <f t="shared" si="6"/>
        <v>0</v>
      </c>
      <c r="P48" s="50" t="str">
        <f t="shared" ref="P48:R48" ca="1" si="191">IFERROR(_xlfn.FORMULATEXT(O48),"")</f>
        <v>=IF(AND(D48="laptop",E48="apple"),F48*10%,0)</v>
      </c>
      <c r="Q48" s="45">
        <f t="shared" si="8"/>
        <v>0</v>
      </c>
      <c r="R48" s="50" t="str">
        <f t="shared" ca="1" si="191"/>
        <v>=IF(OR(D48="laptop",C48="delhi"),F48*10%,0)</v>
      </c>
      <c r="S48" s="45">
        <f t="shared" si="9"/>
        <v>0</v>
      </c>
      <c r="T48" s="50" t="str">
        <f t="shared" ref="T48:V48" ca="1" si="192">IFERROR(_xlfn.FORMULATEXT(S48),"")</f>
        <v>=IF(AND(D48="laptop",OR(E48="samsung",E48="Apple")),F48*10%,0)</v>
      </c>
      <c r="U48" s="57">
        <f t="shared" si="11"/>
        <v>12300</v>
      </c>
      <c r="V48" s="50" t="str">
        <f t="shared" ca="1" si="192"/>
        <v>=IFERROR(ROUND(IF(C48="Mumbai","-",F48*5%),0),"-")</v>
      </c>
      <c r="W48" s="35">
        <f t="shared" si="12"/>
        <v>0.04</v>
      </c>
      <c r="X48" s="50" t="str">
        <f t="shared" ref="X48:Z48" ca="1" si="193">IFERROR(_xlfn.FORMULATEXT(W48),"")</f>
        <v>=IF(F48&lt;=200000,3%,IF(F48&lt;=300000,4%,IF(F48&lt;=400000,5%,IF(F48&lt;=500000,6%,10%))))</v>
      </c>
      <c r="Y48" s="35" cm="1">
        <f t="array" ref="Y48">_xlfn.IFS(F48&lt;$AB$14,$AD$13,F48&lt;$AB$15,$AD$14,F48&lt;$AB$16,$AD$15,F48&lt;$AB$17,$AD$16,F48&gt;=$AB$17,$AD$17)</f>
        <v>0.04</v>
      </c>
      <c r="Z48" s="50" t="str">
        <f t="shared" ca="1" si="193"/>
        <v>=IFS(F48&lt;$AB$14,$AD$13,F48&lt;$AB$15,$AD$14,F48&lt;$AB$16,$AD$15,F48&lt;$AB$17,$AD$16,F48&gt;=$AB$17,$AD$17)</v>
      </c>
    </row>
    <row r="49" spans="1:26" ht="15" thickBot="1">
      <c r="A49" s="33" t="s">
        <v>226</v>
      </c>
      <c r="B49" s="34">
        <v>44349</v>
      </c>
      <c r="C49" s="33" t="s">
        <v>199</v>
      </c>
      <c r="D49" s="33" t="s">
        <v>157</v>
      </c>
      <c r="E49" s="33" t="s">
        <v>121</v>
      </c>
      <c r="F49" s="45">
        <v>367030</v>
      </c>
      <c r="G49" s="47" t="str">
        <f t="shared" si="0"/>
        <v>Commission</v>
      </c>
      <c r="H49" s="50" t="str">
        <f t="shared" ca="1" si="1"/>
        <v>=IF(F49&gt;200000,"Commission","No-Commission")</v>
      </c>
      <c r="I49" s="48">
        <f t="shared" si="2"/>
        <v>36703</v>
      </c>
      <c r="J49" s="50" t="str">
        <f t="shared" ca="1" si="1"/>
        <v>=IF(F49&gt;200000,10%*F49,0%)</v>
      </c>
      <c r="K49" s="35" t="str">
        <f t="shared" si="3"/>
        <v>-</v>
      </c>
      <c r="L49" s="50" t="str">
        <f t="shared" ref="L49:N49" ca="1" si="194">IFERROR(_xlfn.FORMULATEXT(K49),"")</f>
        <v>=IF(AND(D49="Laptop",E49="Apple"),10%,"-")</v>
      </c>
      <c r="M49" s="45" t="str">
        <f t="shared" si="5"/>
        <v>Commission</v>
      </c>
      <c r="N49" s="50" t="str">
        <f t="shared" ca="1" si="194"/>
        <v>=IF(OR(C49="Delhi",D49="Laptop"),"Commission","No-Commission")</v>
      </c>
      <c r="O49" s="45">
        <f t="shared" si="6"/>
        <v>0</v>
      </c>
      <c r="P49" s="50" t="str">
        <f t="shared" ref="P49:R49" ca="1" si="195">IFERROR(_xlfn.FORMULATEXT(O49),"")</f>
        <v>=IF(AND(D49="laptop",E49="apple"),F49*10%,0)</v>
      </c>
      <c r="Q49" s="45">
        <f t="shared" si="8"/>
        <v>36703</v>
      </c>
      <c r="R49" s="50" t="str">
        <f t="shared" ca="1" si="195"/>
        <v>=IF(OR(D49="laptop",C49="delhi"),F49*10%,0)</v>
      </c>
      <c r="S49" s="45">
        <f t="shared" si="9"/>
        <v>0</v>
      </c>
      <c r="T49" s="50" t="str">
        <f t="shared" ref="T49:V49" ca="1" si="196">IFERROR(_xlfn.FORMULATEXT(S49),"")</f>
        <v>=IF(AND(D49="laptop",OR(E49="samsung",E49="Apple")),F49*10%,0)</v>
      </c>
      <c r="U49" s="57">
        <f t="shared" si="11"/>
        <v>18352</v>
      </c>
      <c r="V49" s="50" t="str">
        <f t="shared" ca="1" si="196"/>
        <v>=IFERROR(ROUND(IF(C49="Mumbai","-",F49*5%),0),"-")</v>
      </c>
      <c r="W49" s="35">
        <f t="shared" si="12"/>
        <v>0.05</v>
      </c>
      <c r="X49" s="50" t="str">
        <f t="shared" ref="X49:Z49" ca="1" si="197">IFERROR(_xlfn.FORMULATEXT(W49),"")</f>
        <v>=IF(F49&lt;=200000,3%,IF(F49&lt;=300000,4%,IF(F49&lt;=400000,5%,IF(F49&lt;=500000,6%,10%))))</v>
      </c>
      <c r="Y49" s="35" cm="1">
        <f t="array" ref="Y49">_xlfn.IFS(F49&lt;$AB$14,$AD$13,F49&lt;$AB$15,$AD$14,F49&lt;$AB$16,$AD$15,F49&lt;$AB$17,$AD$16,F49&gt;=$AB$17,$AD$17)</f>
        <v>0.05</v>
      </c>
      <c r="Z49" s="50" t="str">
        <f t="shared" ca="1" si="197"/>
        <v>=IFS(F49&lt;$AB$14,$AD$13,F49&lt;$AB$15,$AD$14,F49&lt;$AB$16,$AD$15,F49&lt;$AB$17,$AD$16,F49&gt;=$AB$17,$AD$17)</v>
      </c>
    </row>
    <row r="50" spans="1:26" ht="15" thickBot="1">
      <c r="A50" s="33" t="s">
        <v>227</v>
      </c>
      <c r="B50" s="34">
        <v>44512</v>
      </c>
      <c r="C50" s="33" t="s">
        <v>211</v>
      </c>
      <c r="D50" s="33" t="s">
        <v>170</v>
      </c>
      <c r="E50" s="33" t="s">
        <v>158</v>
      </c>
      <c r="F50" s="45">
        <v>357759</v>
      </c>
      <c r="G50" s="47" t="str">
        <f t="shared" si="0"/>
        <v>Commission</v>
      </c>
      <c r="H50" s="50" t="str">
        <f t="shared" ca="1" si="1"/>
        <v>=IF(F50&gt;200000,"Commission","No-Commission")</v>
      </c>
      <c r="I50" s="48">
        <f t="shared" si="2"/>
        <v>35775.9</v>
      </c>
      <c r="J50" s="50" t="str">
        <f t="shared" ca="1" si="1"/>
        <v>=IF(F50&gt;200000,10%*F50,0%)</v>
      </c>
      <c r="K50" s="35" t="str">
        <f t="shared" si="3"/>
        <v>-</v>
      </c>
      <c r="L50" s="50" t="str">
        <f t="shared" ref="L50:N50" ca="1" si="198">IFERROR(_xlfn.FORMULATEXT(K50),"")</f>
        <v>=IF(AND(D50="Laptop",E50="Apple"),10%,"-")</v>
      </c>
      <c r="M50" s="45" t="str">
        <f t="shared" si="5"/>
        <v>No-Commission</v>
      </c>
      <c r="N50" s="50" t="str">
        <f t="shared" ca="1" si="198"/>
        <v>=IF(OR(C50="Delhi",D50="Laptop"),"Commission","No-Commission")</v>
      </c>
      <c r="O50" s="45">
        <f t="shared" si="6"/>
        <v>0</v>
      </c>
      <c r="P50" s="50" t="str">
        <f t="shared" ref="P50:R50" ca="1" si="199">IFERROR(_xlfn.FORMULATEXT(O50),"")</f>
        <v>=IF(AND(D50="laptop",E50="apple"),F50*10%,0)</v>
      </c>
      <c r="Q50" s="45">
        <f t="shared" si="8"/>
        <v>0</v>
      </c>
      <c r="R50" s="50" t="str">
        <f t="shared" ca="1" si="199"/>
        <v>=IF(OR(D50="laptop",C50="delhi"),F50*10%,0)</v>
      </c>
      <c r="S50" s="45">
        <f t="shared" si="9"/>
        <v>0</v>
      </c>
      <c r="T50" s="50" t="str">
        <f t="shared" ref="T50:V50" ca="1" si="200">IFERROR(_xlfn.FORMULATEXT(S50),"")</f>
        <v>=IF(AND(D50="laptop",OR(E50="samsung",E50="Apple")),F50*10%,0)</v>
      </c>
      <c r="U50" s="57">
        <f t="shared" si="11"/>
        <v>17888</v>
      </c>
      <c r="V50" s="50" t="str">
        <f t="shared" ca="1" si="200"/>
        <v>=IFERROR(ROUND(IF(C50="Mumbai","-",F50*5%),0),"-")</v>
      </c>
      <c r="W50" s="35">
        <f t="shared" si="12"/>
        <v>0.05</v>
      </c>
      <c r="X50" s="50" t="str">
        <f t="shared" ref="X50:Z50" ca="1" si="201">IFERROR(_xlfn.FORMULATEXT(W50),"")</f>
        <v>=IF(F50&lt;=200000,3%,IF(F50&lt;=300000,4%,IF(F50&lt;=400000,5%,IF(F50&lt;=500000,6%,10%))))</v>
      </c>
      <c r="Y50" s="35" cm="1">
        <f t="array" ref="Y50">_xlfn.IFS(F50&lt;$AB$14,$AD$13,F50&lt;$AB$15,$AD$14,F50&lt;$AB$16,$AD$15,F50&lt;$AB$17,$AD$16,F50&gt;=$AB$17,$AD$17)</f>
        <v>0.05</v>
      </c>
      <c r="Z50" s="50" t="str">
        <f t="shared" ca="1" si="201"/>
        <v>=IFS(F50&lt;$AB$14,$AD$13,F50&lt;$AB$15,$AD$14,F50&lt;$AB$16,$AD$15,F50&lt;$AB$17,$AD$16,F50&gt;=$AB$17,$AD$17)</v>
      </c>
    </row>
    <row r="51" spans="1:26" ht="15" thickBot="1">
      <c r="A51" s="33" t="s">
        <v>228</v>
      </c>
      <c r="B51" s="34">
        <v>44443</v>
      </c>
      <c r="C51" s="33" t="s">
        <v>211</v>
      </c>
      <c r="D51" s="33" t="s">
        <v>157</v>
      </c>
      <c r="E51" s="33" t="s">
        <v>158</v>
      </c>
      <c r="F51" s="45">
        <v>590998</v>
      </c>
      <c r="G51" s="47" t="str">
        <f t="shared" si="0"/>
        <v>Commission</v>
      </c>
      <c r="H51" s="50" t="str">
        <f t="shared" ca="1" si="1"/>
        <v>=IF(F51&gt;200000,"Commission","No-Commission")</v>
      </c>
      <c r="I51" s="48">
        <f t="shared" si="2"/>
        <v>59099.8</v>
      </c>
      <c r="J51" s="50" t="str">
        <f t="shared" ca="1" si="1"/>
        <v>=IF(F51&gt;200000,10%*F51,0%)</v>
      </c>
      <c r="K51" s="35">
        <f t="shared" si="3"/>
        <v>0.1</v>
      </c>
      <c r="L51" s="50" t="str">
        <f t="shared" ref="L51:N51" ca="1" si="202">IFERROR(_xlfn.FORMULATEXT(K51),"")</f>
        <v>=IF(AND(D51="Laptop",E51="Apple"),10%,"-")</v>
      </c>
      <c r="M51" s="45" t="str">
        <f t="shared" si="5"/>
        <v>Commission</v>
      </c>
      <c r="N51" s="50" t="str">
        <f t="shared" ca="1" si="202"/>
        <v>=IF(OR(C51="Delhi",D51="Laptop"),"Commission","No-Commission")</v>
      </c>
      <c r="O51" s="45">
        <f t="shared" si="6"/>
        <v>59099.8</v>
      </c>
      <c r="P51" s="50" t="str">
        <f t="shared" ref="P51:R51" ca="1" si="203">IFERROR(_xlfn.FORMULATEXT(O51),"")</f>
        <v>=IF(AND(D51="laptop",E51="apple"),F51*10%,0)</v>
      </c>
      <c r="Q51" s="45">
        <f t="shared" si="8"/>
        <v>59099.8</v>
      </c>
      <c r="R51" s="50" t="str">
        <f t="shared" ca="1" si="203"/>
        <v>=IF(OR(D51="laptop",C51="delhi"),F51*10%,0)</v>
      </c>
      <c r="S51" s="45">
        <f t="shared" si="9"/>
        <v>59099.8</v>
      </c>
      <c r="T51" s="50" t="str">
        <f t="shared" ref="T51:V51" ca="1" si="204">IFERROR(_xlfn.FORMULATEXT(S51),"")</f>
        <v>=IF(AND(D51="laptop",OR(E51="samsung",E51="Apple")),F51*10%,0)</v>
      </c>
      <c r="U51" s="57">
        <f t="shared" si="11"/>
        <v>29550</v>
      </c>
      <c r="V51" s="50" t="str">
        <f t="shared" ca="1" si="204"/>
        <v>=IFERROR(ROUND(IF(C51="Mumbai","-",F51*5%),0),"-")</v>
      </c>
      <c r="W51" s="35">
        <f t="shared" si="12"/>
        <v>0.1</v>
      </c>
      <c r="X51" s="50" t="str">
        <f t="shared" ref="X51:Z51" ca="1" si="205">IFERROR(_xlfn.FORMULATEXT(W51),"")</f>
        <v>=IF(F51&lt;=200000,3%,IF(F51&lt;=300000,4%,IF(F51&lt;=400000,5%,IF(F51&lt;=500000,6%,10%))))</v>
      </c>
      <c r="Y51" s="35" cm="1">
        <f t="array" ref="Y51">_xlfn.IFS(F51&lt;$AB$14,$AD$13,F51&lt;$AB$15,$AD$14,F51&lt;$AB$16,$AD$15,F51&lt;$AB$17,$AD$16,F51&gt;=$AB$17,$AD$17)</f>
        <v>0.1</v>
      </c>
      <c r="Z51" s="50" t="str">
        <f t="shared" ca="1" si="205"/>
        <v>=IFS(F51&lt;$AB$14,$AD$13,F51&lt;$AB$15,$AD$14,F51&lt;$AB$16,$AD$15,F51&lt;$AB$17,$AD$16,F51&gt;=$AB$17,$AD$17)</v>
      </c>
    </row>
    <row r="52" spans="1:26" ht="15" thickBot="1">
      <c r="A52" s="33" t="s">
        <v>229</v>
      </c>
      <c r="B52" s="34">
        <v>44371</v>
      </c>
      <c r="C52" s="33" t="s">
        <v>205</v>
      </c>
      <c r="D52" s="33" t="s">
        <v>157</v>
      </c>
      <c r="E52" s="33" t="s">
        <v>163</v>
      </c>
      <c r="F52" s="45">
        <v>513693</v>
      </c>
      <c r="G52" s="47" t="str">
        <f t="shared" si="0"/>
        <v>Commission</v>
      </c>
      <c r="H52" s="50" t="str">
        <f t="shared" ca="1" si="1"/>
        <v>=IF(F52&gt;200000,"Commission","No-Commission")</v>
      </c>
      <c r="I52" s="48">
        <f t="shared" si="2"/>
        <v>51369.3</v>
      </c>
      <c r="J52" s="50" t="str">
        <f t="shared" ca="1" si="1"/>
        <v>=IF(F52&gt;200000,10%*F52,0%)</v>
      </c>
      <c r="K52" s="35" t="str">
        <f t="shared" si="3"/>
        <v>-</v>
      </c>
      <c r="L52" s="50" t="str">
        <f t="shared" ref="L52:N52" ca="1" si="206">IFERROR(_xlfn.FORMULATEXT(K52),"")</f>
        <v>=IF(AND(D52="Laptop",E52="Apple"),10%,"-")</v>
      </c>
      <c r="M52" s="45" t="str">
        <f t="shared" si="5"/>
        <v>Commission</v>
      </c>
      <c r="N52" s="50" t="str">
        <f t="shared" ca="1" si="206"/>
        <v>=IF(OR(C52="Delhi",D52="Laptop"),"Commission","No-Commission")</v>
      </c>
      <c r="O52" s="45">
        <f t="shared" si="6"/>
        <v>0</v>
      </c>
      <c r="P52" s="50" t="str">
        <f t="shared" ref="P52:R52" ca="1" si="207">IFERROR(_xlfn.FORMULATEXT(O52),"")</f>
        <v>=IF(AND(D52="laptop",E52="apple"),F52*10%,0)</v>
      </c>
      <c r="Q52" s="45">
        <f t="shared" si="8"/>
        <v>51369.3</v>
      </c>
      <c r="R52" s="50" t="str">
        <f t="shared" ca="1" si="207"/>
        <v>=IF(OR(D52="laptop",C52="delhi"),F52*10%,0)</v>
      </c>
      <c r="S52" s="45">
        <f t="shared" si="9"/>
        <v>51369.3</v>
      </c>
      <c r="T52" s="50" t="str">
        <f t="shared" ref="T52:V52" ca="1" si="208">IFERROR(_xlfn.FORMULATEXT(S52),"")</f>
        <v>=IF(AND(D52="laptop",OR(E52="samsung",E52="Apple")),F52*10%,0)</v>
      </c>
      <c r="U52" s="57">
        <f t="shared" si="11"/>
        <v>25685</v>
      </c>
      <c r="V52" s="50" t="str">
        <f t="shared" ca="1" si="208"/>
        <v>=IFERROR(ROUND(IF(C52="Mumbai","-",F52*5%),0),"-")</v>
      </c>
      <c r="W52" s="35">
        <f t="shared" si="12"/>
        <v>0.1</v>
      </c>
      <c r="X52" s="50" t="str">
        <f t="shared" ref="X52:Z52" ca="1" si="209">IFERROR(_xlfn.FORMULATEXT(W52),"")</f>
        <v>=IF(F52&lt;=200000,3%,IF(F52&lt;=300000,4%,IF(F52&lt;=400000,5%,IF(F52&lt;=500000,6%,10%))))</v>
      </c>
      <c r="Y52" s="35" cm="1">
        <f t="array" ref="Y52">_xlfn.IFS(F52&lt;$AB$14,$AD$13,F52&lt;$AB$15,$AD$14,F52&lt;$AB$16,$AD$15,F52&lt;$AB$17,$AD$16,F52&gt;=$AB$17,$AD$17)</f>
        <v>0.1</v>
      </c>
      <c r="Z52" s="50" t="str">
        <f t="shared" ca="1" si="209"/>
        <v>=IFS(F52&lt;$AB$14,$AD$13,F52&lt;$AB$15,$AD$14,F52&lt;$AB$16,$AD$15,F52&lt;$AB$17,$AD$16,F52&gt;=$AB$17,$AD$17)</v>
      </c>
    </row>
    <row r="53" spans="1:26" ht="15" thickBot="1">
      <c r="A53" s="33" t="s">
        <v>230</v>
      </c>
      <c r="B53" s="34">
        <v>44512</v>
      </c>
      <c r="C53" s="33" t="s">
        <v>205</v>
      </c>
      <c r="D53" s="33" t="s">
        <v>162</v>
      </c>
      <c r="E53" s="33" t="s">
        <v>121</v>
      </c>
      <c r="F53" s="45">
        <v>479792</v>
      </c>
      <c r="G53" s="47" t="str">
        <f t="shared" si="0"/>
        <v>Commission</v>
      </c>
      <c r="H53" s="50" t="str">
        <f t="shared" ca="1" si="1"/>
        <v>=IF(F53&gt;200000,"Commission","No-Commission")</v>
      </c>
      <c r="I53" s="48">
        <f t="shared" si="2"/>
        <v>47979.200000000004</v>
      </c>
      <c r="J53" s="50" t="str">
        <f t="shared" ca="1" si="1"/>
        <v>=IF(F53&gt;200000,10%*F53,0%)</v>
      </c>
      <c r="K53" s="35" t="str">
        <f t="shared" si="3"/>
        <v>-</v>
      </c>
      <c r="L53" s="50" t="str">
        <f t="shared" ref="L53:N53" ca="1" si="210">IFERROR(_xlfn.FORMULATEXT(K53),"")</f>
        <v>=IF(AND(D53="Laptop",E53="Apple"),10%,"-")</v>
      </c>
      <c r="M53" s="45" t="str">
        <f t="shared" si="5"/>
        <v>No-Commission</v>
      </c>
      <c r="N53" s="50" t="str">
        <f t="shared" ca="1" si="210"/>
        <v>=IF(OR(C53="Delhi",D53="Laptop"),"Commission","No-Commission")</v>
      </c>
      <c r="O53" s="45">
        <f t="shared" si="6"/>
        <v>0</v>
      </c>
      <c r="P53" s="50" t="str">
        <f t="shared" ref="P53:R53" ca="1" si="211">IFERROR(_xlfn.FORMULATEXT(O53),"")</f>
        <v>=IF(AND(D53="laptop",E53="apple"),F53*10%,0)</v>
      </c>
      <c r="Q53" s="45">
        <f t="shared" si="8"/>
        <v>0</v>
      </c>
      <c r="R53" s="50" t="str">
        <f t="shared" ca="1" si="211"/>
        <v>=IF(OR(D53="laptop",C53="delhi"),F53*10%,0)</v>
      </c>
      <c r="S53" s="45">
        <f t="shared" si="9"/>
        <v>0</v>
      </c>
      <c r="T53" s="50" t="str">
        <f t="shared" ref="T53:V53" ca="1" si="212">IFERROR(_xlfn.FORMULATEXT(S53),"")</f>
        <v>=IF(AND(D53="laptop",OR(E53="samsung",E53="Apple")),F53*10%,0)</v>
      </c>
      <c r="U53" s="57">
        <f t="shared" si="11"/>
        <v>23990</v>
      </c>
      <c r="V53" s="50" t="str">
        <f t="shared" ca="1" si="212"/>
        <v>=IFERROR(ROUND(IF(C53="Mumbai","-",F53*5%),0),"-")</v>
      </c>
      <c r="W53" s="35">
        <f t="shared" si="12"/>
        <v>0.06</v>
      </c>
      <c r="X53" s="50" t="str">
        <f t="shared" ref="X53:Z53" ca="1" si="213">IFERROR(_xlfn.FORMULATEXT(W53),"")</f>
        <v>=IF(F53&lt;=200000,3%,IF(F53&lt;=300000,4%,IF(F53&lt;=400000,5%,IF(F53&lt;=500000,6%,10%))))</v>
      </c>
      <c r="Y53" s="35" cm="1">
        <f t="array" ref="Y53">_xlfn.IFS(F53&lt;$AB$14,$AD$13,F53&lt;$AB$15,$AD$14,F53&lt;$AB$16,$AD$15,F53&lt;$AB$17,$AD$16,F53&gt;=$AB$17,$AD$17)</f>
        <v>0.06</v>
      </c>
      <c r="Z53" s="50" t="str">
        <f t="shared" ca="1" si="213"/>
        <v>=IFS(F53&lt;$AB$14,$AD$13,F53&lt;$AB$15,$AD$14,F53&lt;$AB$16,$AD$15,F53&lt;$AB$17,$AD$16,F53&gt;=$AB$17,$AD$17)</v>
      </c>
    </row>
    <row r="54" spans="1:26" ht="15" thickBot="1">
      <c r="A54" s="33" t="s">
        <v>231</v>
      </c>
      <c r="B54" s="34">
        <v>44308</v>
      </c>
      <c r="C54" s="33" t="s">
        <v>211</v>
      </c>
      <c r="D54" s="33" t="s">
        <v>162</v>
      </c>
      <c r="E54" s="33" t="s">
        <v>121</v>
      </c>
      <c r="F54" s="45">
        <v>573226</v>
      </c>
      <c r="G54" s="47" t="str">
        <f t="shared" si="0"/>
        <v>Commission</v>
      </c>
      <c r="H54" s="50" t="str">
        <f t="shared" ca="1" si="1"/>
        <v>=IF(F54&gt;200000,"Commission","No-Commission")</v>
      </c>
      <c r="I54" s="48">
        <f t="shared" si="2"/>
        <v>57322.600000000006</v>
      </c>
      <c r="J54" s="50" t="str">
        <f t="shared" ca="1" si="1"/>
        <v>=IF(F54&gt;200000,10%*F54,0%)</v>
      </c>
      <c r="K54" s="35" t="str">
        <f t="shared" si="3"/>
        <v>-</v>
      </c>
      <c r="L54" s="50" t="str">
        <f t="shared" ref="L54:N54" ca="1" si="214">IFERROR(_xlfn.FORMULATEXT(K54),"")</f>
        <v>=IF(AND(D54="Laptop",E54="Apple"),10%,"-")</v>
      </c>
      <c r="M54" s="45" t="str">
        <f t="shared" si="5"/>
        <v>No-Commission</v>
      </c>
      <c r="N54" s="50" t="str">
        <f t="shared" ca="1" si="214"/>
        <v>=IF(OR(C54="Delhi",D54="Laptop"),"Commission","No-Commission")</v>
      </c>
      <c r="O54" s="45">
        <f t="shared" si="6"/>
        <v>0</v>
      </c>
      <c r="P54" s="50" t="str">
        <f t="shared" ref="P54:R54" ca="1" si="215">IFERROR(_xlfn.FORMULATEXT(O54),"")</f>
        <v>=IF(AND(D54="laptop",E54="apple"),F54*10%,0)</v>
      </c>
      <c r="Q54" s="45">
        <f t="shared" si="8"/>
        <v>0</v>
      </c>
      <c r="R54" s="50" t="str">
        <f t="shared" ca="1" si="215"/>
        <v>=IF(OR(D54="laptop",C54="delhi"),F54*10%,0)</v>
      </c>
      <c r="S54" s="45">
        <f t="shared" si="9"/>
        <v>0</v>
      </c>
      <c r="T54" s="50" t="str">
        <f t="shared" ref="T54:V54" ca="1" si="216">IFERROR(_xlfn.FORMULATEXT(S54),"")</f>
        <v>=IF(AND(D54="laptop",OR(E54="samsung",E54="Apple")),F54*10%,0)</v>
      </c>
      <c r="U54" s="57">
        <f t="shared" si="11"/>
        <v>28661</v>
      </c>
      <c r="V54" s="50" t="str">
        <f t="shared" ca="1" si="216"/>
        <v>=IFERROR(ROUND(IF(C54="Mumbai","-",F54*5%),0),"-")</v>
      </c>
      <c r="W54" s="35">
        <f t="shared" si="12"/>
        <v>0.1</v>
      </c>
      <c r="X54" s="50" t="str">
        <f t="shared" ref="X54:Z54" ca="1" si="217">IFERROR(_xlfn.FORMULATEXT(W54),"")</f>
        <v>=IF(F54&lt;=200000,3%,IF(F54&lt;=300000,4%,IF(F54&lt;=400000,5%,IF(F54&lt;=500000,6%,10%))))</v>
      </c>
      <c r="Y54" s="35" cm="1">
        <f t="array" ref="Y54">_xlfn.IFS(F54&lt;$AB$14,$AD$13,F54&lt;$AB$15,$AD$14,F54&lt;$AB$16,$AD$15,F54&lt;$AB$17,$AD$16,F54&gt;=$AB$17,$AD$17)</f>
        <v>0.1</v>
      </c>
      <c r="Z54" s="50" t="str">
        <f t="shared" ca="1" si="217"/>
        <v>=IFS(F54&lt;$AB$14,$AD$13,F54&lt;$AB$15,$AD$14,F54&lt;$AB$16,$AD$15,F54&lt;$AB$17,$AD$16,F54&gt;=$AB$17,$AD$17)</v>
      </c>
    </row>
    <row r="55" spans="1:26" ht="15" thickBot="1">
      <c r="A55" s="33" t="s">
        <v>232</v>
      </c>
      <c r="B55" s="34">
        <v>44358</v>
      </c>
      <c r="C55" s="33" t="s">
        <v>199</v>
      </c>
      <c r="D55" s="33" t="s">
        <v>162</v>
      </c>
      <c r="E55" s="33" t="s">
        <v>163</v>
      </c>
      <c r="F55" s="45">
        <v>317874</v>
      </c>
      <c r="G55" s="47" t="str">
        <f t="shared" si="0"/>
        <v>Commission</v>
      </c>
      <c r="H55" s="50" t="str">
        <f t="shared" ca="1" si="1"/>
        <v>=IF(F55&gt;200000,"Commission","No-Commission")</v>
      </c>
      <c r="I55" s="48">
        <f t="shared" si="2"/>
        <v>31787.4</v>
      </c>
      <c r="J55" s="50" t="str">
        <f t="shared" ca="1" si="1"/>
        <v>=IF(F55&gt;200000,10%*F55,0%)</v>
      </c>
      <c r="K55" s="35" t="str">
        <f t="shared" si="3"/>
        <v>-</v>
      </c>
      <c r="L55" s="50" t="str">
        <f t="shared" ref="L55:N55" ca="1" si="218">IFERROR(_xlfn.FORMULATEXT(K55),"")</f>
        <v>=IF(AND(D55="Laptop",E55="Apple"),10%,"-")</v>
      </c>
      <c r="M55" s="45" t="str">
        <f t="shared" si="5"/>
        <v>No-Commission</v>
      </c>
      <c r="N55" s="50" t="str">
        <f t="shared" ca="1" si="218"/>
        <v>=IF(OR(C55="Delhi",D55="Laptop"),"Commission","No-Commission")</v>
      </c>
      <c r="O55" s="45">
        <f t="shared" si="6"/>
        <v>0</v>
      </c>
      <c r="P55" s="50" t="str">
        <f t="shared" ref="P55:R55" ca="1" si="219">IFERROR(_xlfn.FORMULATEXT(O55),"")</f>
        <v>=IF(AND(D55="laptop",E55="apple"),F55*10%,0)</v>
      </c>
      <c r="Q55" s="45">
        <f t="shared" si="8"/>
        <v>0</v>
      </c>
      <c r="R55" s="50" t="str">
        <f t="shared" ca="1" si="219"/>
        <v>=IF(OR(D55="laptop",C55="delhi"),F55*10%,0)</v>
      </c>
      <c r="S55" s="45">
        <f t="shared" si="9"/>
        <v>0</v>
      </c>
      <c r="T55" s="50" t="str">
        <f t="shared" ref="T55:V55" ca="1" si="220">IFERROR(_xlfn.FORMULATEXT(S55),"")</f>
        <v>=IF(AND(D55="laptop",OR(E55="samsung",E55="Apple")),F55*10%,0)</v>
      </c>
      <c r="U55" s="57">
        <f t="shared" si="11"/>
        <v>15894</v>
      </c>
      <c r="V55" s="50" t="str">
        <f t="shared" ca="1" si="220"/>
        <v>=IFERROR(ROUND(IF(C55="Mumbai","-",F55*5%),0),"-")</v>
      </c>
      <c r="W55" s="35">
        <f t="shared" si="12"/>
        <v>0.05</v>
      </c>
      <c r="X55" s="50" t="str">
        <f t="shared" ref="X55:Z55" ca="1" si="221">IFERROR(_xlfn.FORMULATEXT(W55),"")</f>
        <v>=IF(F55&lt;=200000,3%,IF(F55&lt;=300000,4%,IF(F55&lt;=400000,5%,IF(F55&lt;=500000,6%,10%))))</v>
      </c>
      <c r="Y55" s="35" cm="1">
        <f t="array" ref="Y55">_xlfn.IFS(F55&lt;$AB$14,$AD$13,F55&lt;$AB$15,$AD$14,F55&lt;$AB$16,$AD$15,F55&lt;$AB$17,$AD$16,F55&gt;=$AB$17,$AD$17)</f>
        <v>0.05</v>
      </c>
      <c r="Z55" s="50" t="str">
        <f t="shared" ca="1" si="221"/>
        <v>=IFS(F55&lt;$AB$14,$AD$13,F55&lt;$AB$15,$AD$14,F55&lt;$AB$16,$AD$15,F55&lt;$AB$17,$AD$16,F55&gt;=$AB$17,$AD$17)</v>
      </c>
    </row>
    <row r="56" spans="1:26" ht="15" thickBot="1">
      <c r="A56" s="33" t="s">
        <v>233</v>
      </c>
      <c r="B56" s="34">
        <v>44420</v>
      </c>
      <c r="C56" s="33" t="s">
        <v>197</v>
      </c>
      <c r="D56" s="33" t="s">
        <v>170</v>
      </c>
      <c r="E56" s="33" t="s">
        <v>158</v>
      </c>
      <c r="F56" s="45">
        <v>294690</v>
      </c>
      <c r="G56" s="47" t="str">
        <f t="shared" si="0"/>
        <v>Commission</v>
      </c>
      <c r="H56" s="50" t="str">
        <f t="shared" ca="1" si="1"/>
        <v>=IF(F56&gt;200000,"Commission","No-Commission")</v>
      </c>
      <c r="I56" s="48">
        <f t="shared" si="2"/>
        <v>29469</v>
      </c>
      <c r="J56" s="50" t="str">
        <f t="shared" ca="1" si="1"/>
        <v>=IF(F56&gt;200000,10%*F56,0%)</v>
      </c>
      <c r="K56" s="35" t="str">
        <f t="shared" si="3"/>
        <v>-</v>
      </c>
      <c r="L56" s="50" t="str">
        <f t="shared" ref="L56:N56" ca="1" si="222">IFERROR(_xlfn.FORMULATEXT(K56),"")</f>
        <v>=IF(AND(D56="Laptop",E56="Apple"),10%,"-")</v>
      </c>
      <c r="M56" s="45" t="str">
        <f t="shared" si="5"/>
        <v>No-Commission</v>
      </c>
      <c r="N56" s="50" t="str">
        <f t="shared" ca="1" si="222"/>
        <v>=IF(OR(C56="Delhi",D56="Laptop"),"Commission","No-Commission")</v>
      </c>
      <c r="O56" s="45">
        <f t="shared" si="6"/>
        <v>0</v>
      </c>
      <c r="P56" s="50" t="str">
        <f t="shared" ref="P56:R56" ca="1" si="223">IFERROR(_xlfn.FORMULATEXT(O56),"")</f>
        <v>=IF(AND(D56="laptop",E56="apple"),F56*10%,0)</v>
      </c>
      <c r="Q56" s="45">
        <f t="shared" si="8"/>
        <v>0</v>
      </c>
      <c r="R56" s="50" t="str">
        <f t="shared" ca="1" si="223"/>
        <v>=IF(OR(D56="laptop",C56="delhi"),F56*10%,0)</v>
      </c>
      <c r="S56" s="45">
        <f t="shared" si="9"/>
        <v>0</v>
      </c>
      <c r="T56" s="50" t="str">
        <f t="shared" ref="T56:V56" ca="1" si="224">IFERROR(_xlfn.FORMULATEXT(S56),"")</f>
        <v>=IF(AND(D56="laptop",OR(E56="samsung",E56="Apple")),F56*10%,0)</v>
      </c>
      <c r="U56" s="57">
        <f t="shared" si="11"/>
        <v>14735</v>
      </c>
      <c r="V56" s="50" t="str">
        <f t="shared" ca="1" si="224"/>
        <v>=IFERROR(ROUND(IF(C56="Mumbai","-",F56*5%),0),"-")</v>
      </c>
      <c r="W56" s="35">
        <f t="shared" si="12"/>
        <v>0.04</v>
      </c>
      <c r="X56" s="50" t="str">
        <f t="shared" ref="X56:Z56" ca="1" si="225">IFERROR(_xlfn.FORMULATEXT(W56),"")</f>
        <v>=IF(F56&lt;=200000,3%,IF(F56&lt;=300000,4%,IF(F56&lt;=400000,5%,IF(F56&lt;=500000,6%,10%))))</v>
      </c>
      <c r="Y56" s="35" cm="1">
        <f t="array" ref="Y56">_xlfn.IFS(F56&lt;$AB$14,$AD$13,F56&lt;$AB$15,$AD$14,F56&lt;$AB$16,$AD$15,F56&lt;$AB$17,$AD$16,F56&gt;=$AB$17,$AD$17)</f>
        <v>0.04</v>
      </c>
      <c r="Z56" s="50" t="str">
        <f t="shared" ca="1" si="225"/>
        <v>=IFS(F56&lt;$AB$14,$AD$13,F56&lt;$AB$15,$AD$14,F56&lt;$AB$16,$AD$15,F56&lt;$AB$17,$AD$16,F56&gt;=$AB$17,$AD$17)</v>
      </c>
    </row>
    <row r="57" spans="1:26" ht="15" thickBot="1">
      <c r="A57" s="33" t="s">
        <v>234</v>
      </c>
      <c r="B57" s="34">
        <v>44298</v>
      </c>
      <c r="C57" s="33" t="s">
        <v>199</v>
      </c>
      <c r="D57" s="33" t="s">
        <v>157</v>
      </c>
      <c r="E57" s="33" t="s">
        <v>121</v>
      </c>
      <c r="F57" s="45">
        <v>172573</v>
      </c>
      <c r="G57" s="47" t="str">
        <f t="shared" si="0"/>
        <v>No-Commission</v>
      </c>
      <c r="H57" s="50" t="str">
        <f t="shared" ca="1" si="1"/>
        <v>=IF(F57&gt;200000,"Commission","No-Commission")</v>
      </c>
      <c r="I57" s="48">
        <f t="shared" si="2"/>
        <v>0</v>
      </c>
      <c r="J57" s="50" t="str">
        <f t="shared" ca="1" si="1"/>
        <v>=IF(F57&gt;200000,10%*F57,0%)</v>
      </c>
      <c r="K57" s="35" t="str">
        <f t="shared" si="3"/>
        <v>-</v>
      </c>
      <c r="L57" s="50" t="str">
        <f t="shared" ref="L57:N57" ca="1" si="226">IFERROR(_xlfn.FORMULATEXT(K57),"")</f>
        <v>=IF(AND(D57="Laptop",E57="Apple"),10%,"-")</v>
      </c>
      <c r="M57" s="45" t="str">
        <f t="shared" si="5"/>
        <v>Commission</v>
      </c>
      <c r="N57" s="50" t="str">
        <f t="shared" ca="1" si="226"/>
        <v>=IF(OR(C57="Delhi",D57="Laptop"),"Commission","No-Commission")</v>
      </c>
      <c r="O57" s="45">
        <f t="shared" si="6"/>
        <v>0</v>
      </c>
      <c r="P57" s="50" t="str">
        <f t="shared" ref="P57:R57" ca="1" si="227">IFERROR(_xlfn.FORMULATEXT(O57),"")</f>
        <v>=IF(AND(D57="laptop",E57="apple"),F57*10%,0)</v>
      </c>
      <c r="Q57" s="45">
        <f t="shared" si="8"/>
        <v>17257.3</v>
      </c>
      <c r="R57" s="50" t="str">
        <f t="shared" ca="1" si="227"/>
        <v>=IF(OR(D57="laptop",C57="delhi"),F57*10%,0)</v>
      </c>
      <c r="S57" s="45">
        <f t="shared" si="9"/>
        <v>0</v>
      </c>
      <c r="T57" s="50" t="str">
        <f t="shared" ref="T57:V57" ca="1" si="228">IFERROR(_xlfn.FORMULATEXT(S57),"")</f>
        <v>=IF(AND(D57="laptop",OR(E57="samsung",E57="Apple")),F57*10%,0)</v>
      </c>
      <c r="U57" s="57">
        <f t="shared" si="11"/>
        <v>8629</v>
      </c>
      <c r="V57" s="50" t="str">
        <f t="shared" ca="1" si="228"/>
        <v>=IFERROR(ROUND(IF(C57="Mumbai","-",F57*5%),0),"-")</v>
      </c>
      <c r="W57" s="35">
        <f t="shared" si="12"/>
        <v>0.03</v>
      </c>
      <c r="X57" s="50" t="str">
        <f t="shared" ref="X57:Z57" ca="1" si="229">IFERROR(_xlfn.FORMULATEXT(W57),"")</f>
        <v>=IF(F57&lt;=200000,3%,IF(F57&lt;=300000,4%,IF(F57&lt;=400000,5%,IF(F57&lt;=500000,6%,10%))))</v>
      </c>
      <c r="Y57" s="35" cm="1">
        <f t="array" ref="Y57">_xlfn.IFS(F57&lt;$AB$14,$AD$13,F57&lt;$AB$15,$AD$14,F57&lt;$AB$16,$AD$15,F57&lt;$AB$17,$AD$16,F57&gt;=$AB$17,$AD$17)</f>
        <v>0.03</v>
      </c>
      <c r="Z57" s="50" t="str">
        <f t="shared" ca="1" si="229"/>
        <v>=IFS(F57&lt;$AB$14,$AD$13,F57&lt;$AB$15,$AD$14,F57&lt;$AB$16,$AD$15,F57&lt;$AB$17,$AD$16,F57&gt;=$AB$17,$AD$17)</v>
      </c>
    </row>
    <row r="58" spans="1:26" ht="15" thickBot="1">
      <c r="A58" s="33" t="s">
        <v>235</v>
      </c>
      <c r="B58" s="34">
        <v>44464</v>
      </c>
      <c r="C58" s="33" t="s">
        <v>199</v>
      </c>
      <c r="D58" s="33" t="s">
        <v>170</v>
      </c>
      <c r="E58" s="33" t="s">
        <v>158</v>
      </c>
      <c r="F58" s="45">
        <v>546362</v>
      </c>
      <c r="G58" s="47" t="str">
        <f t="shared" si="0"/>
        <v>Commission</v>
      </c>
      <c r="H58" s="50" t="str">
        <f t="shared" ca="1" si="1"/>
        <v>=IF(F58&gt;200000,"Commission","No-Commission")</v>
      </c>
      <c r="I58" s="48">
        <f t="shared" si="2"/>
        <v>54636.200000000004</v>
      </c>
      <c r="J58" s="50" t="str">
        <f t="shared" ca="1" si="1"/>
        <v>=IF(F58&gt;200000,10%*F58,0%)</v>
      </c>
      <c r="K58" s="35" t="str">
        <f t="shared" si="3"/>
        <v>-</v>
      </c>
      <c r="L58" s="50" t="str">
        <f t="shared" ref="L58:N58" ca="1" si="230">IFERROR(_xlfn.FORMULATEXT(K58),"")</f>
        <v>=IF(AND(D58="Laptop",E58="Apple"),10%,"-")</v>
      </c>
      <c r="M58" s="45" t="str">
        <f t="shared" si="5"/>
        <v>No-Commission</v>
      </c>
      <c r="N58" s="50" t="str">
        <f t="shared" ca="1" si="230"/>
        <v>=IF(OR(C58="Delhi",D58="Laptop"),"Commission","No-Commission")</v>
      </c>
      <c r="O58" s="45">
        <f t="shared" si="6"/>
        <v>0</v>
      </c>
      <c r="P58" s="50" t="str">
        <f t="shared" ref="P58:R58" ca="1" si="231">IFERROR(_xlfn.FORMULATEXT(O58),"")</f>
        <v>=IF(AND(D58="laptop",E58="apple"),F58*10%,0)</v>
      </c>
      <c r="Q58" s="45">
        <f t="shared" si="8"/>
        <v>0</v>
      </c>
      <c r="R58" s="50" t="str">
        <f t="shared" ca="1" si="231"/>
        <v>=IF(OR(D58="laptop",C58="delhi"),F58*10%,0)</v>
      </c>
      <c r="S58" s="45">
        <f t="shared" si="9"/>
        <v>0</v>
      </c>
      <c r="T58" s="50" t="str">
        <f t="shared" ref="T58:V58" ca="1" si="232">IFERROR(_xlfn.FORMULATEXT(S58),"")</f>
        <v>=IF(AND(D58="laptop",OR(E58="samsung",E58="Apple")),F58*10%,0)</v>
      </c>
      <c r="U58" s="57">
        <f t="shared" si="11"/>
        <v>27318</v>
      </c>
      <c r="V58" s="50" t="str">
        <f t="shared" ca="1" si="232"/>
        <v>=IFERROR(ROUND(IF(C58="Mumbai","-",F58*5%),0),"-")</v>
      </c>
      <c r="W58" s="35">
        <f t="shared" si="12"/>
        <v>0.1</v>
      </c>
      <c r="X58" s="50" t="str">
        <f t="shared" ref="X58:Z58" ca="1" si="233">IFERROR(_xlfn.FORMULATEXT(W58),"")</f>
        <v>=IF(F58&lt;=200000,3%,IF(F58&lt;=300000,4%,IF(F58&lt;=400000,5%,IF(F58&lt;=500000,6%,10%))))</v>
      </c>
      <c r="Y58" s="35" cm="1">
        <f t="array" ref="Y58">_xlfn.IFS(F58&lt;$AB$14,$AD$13,F58&lt;$AB$15,$AD$14,F58&lt;$AB$16,$AD$15,F58&lt;$AB$17,$AD$16,F58&gt;=$AB$17,$AD$17)</f>
        <v>0.1</v>
      </c>
      <c r="Z58" s="50" t="str">
        <f t="shared" ca="1" si="233"/>
        <v>=IFS(F58&lt;$AB$14,$AD$13,F58&lt;$AB$15,$AD$14,F58&lt;$AB$16,$AD$15,F58&lt;$AB$17,$AD$16,F58&gt;=$AB$17,$AD$17)</v>
      </c>
    </row>
    <row r="59" spans="1:26" ht="15" thickBot="1">
      <c r="A59" s="33" t="s">
        <v>236</v>
      </c>
      <c r="B59" s="34">
        <v>44370</v>
      </c>
      <c r="C59" s="33" t="s">
        <v>211</v>
      </c>
      <c r="D59" s="33" t="s">
        <v>170</v>
      </c>
      <c r="E59" s="33" t="s">
        <v>158</v>
      </c>
      <c r="F59" s="45">
        <v>417091</v>
      </c>
      <c r="G59" s="47" t="str">
        <f t="shared" si="0"/>
        <v>Commission</v>
      </c>
      <c r="H59" s="50" t="str">
        <f t="shared" ca="1" si="1"/>
        <v>=IF(F59&gt;200000,"Commission","No-Commission")</v>
      </c>
      <c r="I59" s="48">
        <f t="shared" si="2"/>
        <v>41709.100000000006</v>
      </c>
      <c r="J59" s="50" t="str">
        <f t="shared" ca="1" si="1"/>
        <v>=IF(F59&gt;200000,10%*F59,0%)</v>
      </c>
      <c r="K59" s="35" t="str">
        <f t="shared" si="3"/>
        <v>-</v>
      </c>
      <c r="L59" s="50" t="str">
        <f t="shared" ref="L59:N59" ca="1" si="234">IFERROR(_xlfn.FORMULATEXT(K59),"")</f>
        <v>=IF(AND(D59="Laptop",E59="Apple"),10%,"-")</v>
      </c>
      <c r="M59" s="45" t="str">
        <f t="shared" si="5"/>
        <v>No-Commission</v>
      </c>
      <c r="N59" s="50" t="str">
        <f t="shared" ca="1" si="234"/>
        <v>=IF(OR(C59="Delhi",D59="Laptop"),"Commission","No-Commission")</v>
      </c>
      <c r="O59" s="45">
        <f t="shared" si="6"/>
        <v>0</v>
      </c>
      <c r="P59" s="50" t="str">
        <f t="shared" ref="P59:R59" ca="1" si="235">IFERROR(_xlfn.FORMULATEXT(O59),"")</f>
        <v>=IF(AND(D59="laptop",E59="apple"),F59*10%,0)</v>
      </c>
      <c r="Q59" s="45">
        <f t="shared" si="8"/>
        <v>0</v>
      </c>
      <c r="R59" s="50" t="str">
        <f t="shared" ca="1" si="235"/>
        <v>=IF(OR(D59="laptop",C59="delhi"),F59*10%,0)</v>
      </c>
      <c r="S59" s="45">
        <f t="shared" si="9"/>
        <v>0</v>
      </c>
      <c r="T59" s="50" t="str">
        <f t="shared" ref="T59:V59" ca="1" si="236">IFERROR(_xlfn.FORMULATEXT(S59),"")</f>
        <v>=IF(AND(D59="laptop",OR(E59="samsung",E59="Apple")),F59*10%,0)</v>
      </c>
      <c r="U59" s="57">
        <f t="shared" si="11"/>
        <v>20855</v>
      </c>
      <c r="V59" s="50" t="str">
        <f t="shared" ca="1" si="236"/>
        <v>=IFERROR(ROUND(IF(C59="Mumbai","-",F59*5%),0),"-")</v>
      </c>
      <c r="W59" s="35">
        <f t="shared" si="12"/>
        <v>0.06</v>
      </c>
      <c r="X59" s="50" t="str">
        <f t="shared" ref="X59:Z59" ca="1" si="237">IFERROR(_xlfn.FORMULATEXT(W59),"")</f>
        <v>=IF(F59&lt;=200000,3%,IF(F59&lt;=300000,4%,IF(F59&lt;=400000,5%,IF(F59&lt;=500000,6%,10%))))</v>
      </c>
      <c r="Y59" s="35" cm="1">
        <f t="array" ref="Y59">_xlfn.IFS(F59&lt;$AB$14,$AD$13,F59&lt;$AB$15,$AD$14,F59&lt;$AB$16,$AD$15,F59&lt;$AB$17,$AD$16,F59&gt;=$AB$17,$AD$17)</f>
        <v>0.06</v>
      </c>
      <c r="Z59" s="50" t="str">
        <f t="shared" ca="1" si="237"/>
        <v>=IFS(F59&lt;$AB$14,$AD$13,F59&lt;$AB$15,$AD$14,F59&lt;$AB$16,$AD$15,F59&lt;$AB$17,$AD$16,F59&gt;=$AB$17,$AD$17)</v>
      </c>
    </row>
    <row r="60" spans="1:26" ht="15" thickBot="1">
      <c r="A60" s="33" t="s">
        <v>237</v>
      </c>
      <c r="B60" s="34">
        <v>44573</v>
      </c>
      <c r="C60" s="33" t="s">
        <v>199</v>
      </c>
      <c r="D60" s="33" t="s">
        <v>170</v>
      </c>
      <c r="E60" s="33" t="s">
        <v>158</v>
      </c>
      <c r="F60" s="45">
        <v>368859</v>
      </c>
      <c r="G60" s="47" t="str">
        <f t="shared" si="0"/>
        <v>Commission</v>
      </c>
      <c r="H60" s="50" t="str">
        <f t="shared" ca="1" si="1"/>
        <v>=IF(F60&gt;200000,"Commission","No-Commission")</v>
      </c>
      <c r="I60" s="48">
        <f t="shared" si="2"/>
        <v>36885.9</v>
      </c>
      <c r="J60" s="50" t="str">
        <f t="shared" ca="1" si="1"/>
        <v>=IF(F60&gt;200000,10%*F60,0%)</v>
      </c>
      <c r="K60" s="35" t="str">
        <f t="shared" si="3"/>
        <v>-</v>
      </c>
      <c r="L60" s="50" t="str">
        <f t="shared" ref="L60:N60" ca="1" si="238">IFERROR(_xlfn.FORMULATEXT(K60),"")</f>
        <v>=IF(AND(D60="Laptop",E60="Apple"),10%,"-")</v>
      </c>
      <c r="M60" s="45" t="str">
        <f t="shared" si="5"/>
        <v>No-Commission</v>
      </c>
      <c r="N60" s="50" t="str">
        <f t="shared" ca="1" si="238"/>
        <v>=IF(OR(C60="Delhi",D60="Laptop"),"Commission","No-Commission")</v>
      </c>
      <c r="O60" s="45">
        <f t="shared" si="6"/>
        <v>0</v>
      </c>
      <c r="P60" s="50" t="str">
        <f t="shared" ref="P60:R60" ca="1" si="239">IFERROR(_xlfn.FORMULATEXT(O60),"")</f>
        <v>=IF(AND(D60="laptop",E60="apple"),F60*10%,0)</v>
      </c>
      <c r="Q60" s="45">
        <f t="shared" si="8"/>
        <v>0</v>
      </c>
      <c r="R60" s="50" t="str">
        <f t="shared" ca="1" si="239"/>
        <v>=IF(OR(D60="laptop",C60="delhi"),F60*10%,0)</v>
      </c>
      <c r="S60" s="45">
        <f t="shared" si="9"/>
        <v>0</v>
      </c>
      <c r="T60" s="50" t="str">
        <f t="shared" ref="T60:V60" ca="1" si="240">IFERROR(_xlfn.FORMULATEXT(S60),"")</f>
        <v>=IF(AND(D60="laptop",OR(E60="samsung",E60="Apple")),F60*10%,0)</v>
      </c>
      <c r="U60" s="57">
        <f t="shared" si="11"/>
        <v>18443</v>
      </c>
      <c r="V60" s="50" t="str">
        <f t="shared" ca="1" si="240"/>
        <v>=IFERROR(ROUND(IF(C60="Mumbai","-",F60*5%),0),"-")</v>
      </c>
      <c r="W60" s="35">
        <f t="shared" si="12"/>
        <v>0.05</v>
      </c>
      <c r="X60" s="50" t="str">
        <f t="shared" ref="X60:Z60" ca="1" si="241">IFERROR(_xlfn.FORMULATEXT(W60),"")</f>
        <v>=IF(F60&lt;=200000,3%,IF(F60&lt;=300000,4%,IF(F60&lt;=400000,5%,IF(F60&lt;=500000,6%,10%))))</v>
      </c>
      <c r="Y60" s="35" cm="1">
        <f t="array" ref="Y60">_xlfn.IFS(F60&lt;$AB$14,$AD$13,F60&lt;$AB$15,$AD$14,F60&lt;$AB$16,$AD$15,F60&lt;$AB$17,$AD$16,F60&gt;=$AB$17,$AD$17)</f>
        <v>0.05</v>
      </c>
      <c r="Z60" s="50" t="str">
        <f t="shared" ca="1" si="241"/>
        <v>=IFS(F60&lt;$AB$14,$AD$13,F60&lt;$AB$15,$AD$14,F60&lt;$AB$16,$AD$15,F60&lt;$AB$17,$AD$16,F60&gt;=$AB$17,$AD$17)</v>
      </c>
    </row>
    <row r="61" spans="1:26">
      <c r="I61" s="46"/>
      <c r="K61" s="46"/>
      <c r="M61" s="46"/>
      <c r="O61" s="46"/>
      <c r="Q61" s="46"/>
      <c r="S61" s="46"/>
    </row>
    <row r="62" spans="1:26">
      <c r="I62" s="46"/>
      <c r="K62" s="46"/>
      <c r="M62" s="46"/>
      <c r="O62" s="46"/>
      <c r="Q62" s="46"/>
      <c r="S62" s="46"/>
    </row>
    <row r="63" spans="1:26">
      <c r="I63" s="46"/>
      <c r="K63" s="46"/>
      <c r="M63" s="46"/>
      <c r="O63" s="46"/>
      <c r="Q63" s="46"/>
      <c r="S63" s="46"/>
    </row>
    <row r="64" spans="1:26">
      <c r="I64" s="46"/>
      <c r="K64" s="46"/>
      <c r="M64" s="46"/>
      <c r="O64" s="46"/>
      <c r="Q64" s="46"/>
      <c r="S64" s="46"/>
    </row>
    <row r="65" spans="9:19">
      <c r="I65" s="46"/>
      <c r="K65" s="46"/>
      <c r="M65" s="46"/>
      <c r="O65" s="46"/>
      <c r="Q65" s="46"/>
      <c r="S65" s="46"/>
    </row>
    <row r="66" spans="9:19">
      <c r="I66" s="46"/>
      <c r="K66" s="46"/>
      <c r="M66" s="46"/>
      <c r="O66" s="46"/>
      <c r="Q66" s="46"/>
      <c r="S66" s="46"/>
    </row>
    <row r="67" spans="9:19">
      <c r="I67" s="46"/>
      <c r="K67" s="46"/>
      <c r="M67" s="46"/>
      <c r="O67" s="46"/>
      <c r="Q67" s="46"/>
      <c r="S67" s="46"/>
    </row>
    <row r="68" spans="9:19">
      <c r="I68" s="46"/>
      <c r="K68" s="46"/>
      <c r="M68" s="46"/>
      <c r="O68" s="46"/>
      <c r="Q68" s="46"/>
      <c r="S68" s="46"/>
    </row>
    <row r="69" spans="9:19">
      <c r="I69" s="46"/>
      <c r="K69" s="46"/>
      <c r="M69" s="46"/>
      <c r="O69" s="46"/>
      <c r="Q69" s="46"/>
      <c r="S69" s="46"/>
    </row>
    <row r="70" spans="9:19">
      <c r="I70" s="46"/>
      <c r="K70" s="46"/>
      <c r="M70" s="46"/>
      <c r="O70" s="46"/>
      <c r="Q70" s="46"/>
      <c r="S70" s="46"/>
    </row>
    <row r="71" spans="9:19">
      <c r="I71" s="46"/>
      <c r="K71" s="46"/>
      <c r="M71" s="46"/>
      <c r="O71" s="46"/>
      <c r="Q71" s="46"/>
      <c r="S71" s="46"/>
    </row>
    <row r="72" spans="9:19">
      <c r="I72" s="46"/>
      <c r="K72" s="46"/>
      <c r="M72" s="46"/>
      <c r="O72" s="46"/>
      <c r="Q72" s="46"/>
      <c r="S72" s="46"/>
    </row>
    <row r="73" spans="9:19">
      <c r="I73" s="46"/>
      <c r="K73" s="46"/>
      <c r="M73" s="46"/>
      <c r="O73" s="46"/>
      <c r="Q73" s="46"/>
      <c r="S73" s="46"/>
    </row>
    <row r="74" spans="9:19">
      <c r="I74" s="46"/>
      <c r="K74" s="46"/>
      <c r="M74" s="46"/>
      <c r="O74" s="46"/>
      <c r="Q74" s="46"/>
      <c r="S74" s="46"/>
    </row>
    <row r="75" spans="9:19">
      <c r="I75" s="46"/>
      <c r="K75" s="46"/>
      <c r="M75" s="46"/>
      <c r="O75" s="46"/>
      <c r="Q75" s="46"/>
      <c r="S75" s="46"/>
    </row>
    <row r="76" spans="9:19">
      <c r="I76" s="46"/>
      <c r="K76" s="46"/>
      <c r="M76" s="46"/>
      <c r="O76" s="46"/>
      <c r="Q76" s="46"/>
      <c r="S76" s="46"/>
    </row>
    <row r="77" spans="9:19">
      <c r="I77" s="46"/>
      <c r="K77" s="46"/>
      <c r="M77" s="46"/>
      <c r="O77" s="46"/>
      <c r="Q77" s="46"/>
      <c r="S77" s="46"/>
    </row>
    <row r="78" spans="9:19">
      <c r="I78" s="46"/>
      <c r="K78" s="46"/>
      <c r="M78" s="46"/>
      <c r="O78" s="46"/>
      <c r="Q78" s="46"/>
      <c r="S78" s="46"/>
    </row>
    <row r="79" spans="9:19">
      <c r="I79" s="46"/>
      <c r="K79" s="46"/>
      <c r="M79" s="46"/>
      <c r="O79" s="46"/>
      <c r="Q79" s="46"/>
      <c r="S79" s="46"/>
    </row>
  </sheetData>
  <autoFilter ref="A1:Z60" xr:uid="{555C35EB-9BC1-4082-9452-1503C5AAAE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jayshree tawari</dc:creator>
  <cp:keywords/>
  <dc:description/>
  <cp:lastModifiedBy/>
  <cp:revision/>
  <dcterms:created xsi:type="dcterms:W3CDTF">2023-03-21T11:49:28Z</dcterms:created>
  <dcterms:modified xsi:type="dcterms:W3CDTF">2023-04-23T12:29:29Z</dcterms:modified>
  <cp:category/>
  <cp:contentStatus/>
</cp:coreProperties>
</file>