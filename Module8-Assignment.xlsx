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bAaj Recording\"/>
    </mc:Choice>
  </mc:AlternateContent>
  <xr:revisionPtr revIDLastSave="0" documentId="13_ncr:1_{B85649E4-285B-4752-B13B-457FC8766CE9}" xr6:coauthVersionLast="47" xr6:coauthVersionMax="47" xr10:uidLastSave="{00000000-0000-0000-0000-000000000000}"/>
  <bookViews>
    <workbookView xWindow="-108" yWindow="-108" windowWidth="23256" windowHeight="12456" activeTab="4" xr2:uid="{65295BC0-024E-468D-8AEC-82DEF29F3641}"/>
  </bookViews>
  <sheets>
    <sheet name="Data Table-S" sheetId="2" r:id="rId1"/>
    <sheet name="Data Table-UnS" sheetId="3" r:id="rId2"/>
    <sheet name="Data Validation-S" sheetId="4" r:id="rId3"/>
    <sheet name="Data Validation-UnS" sheetId="5" r:id="rId4"/>
    <sheet name="Source Lis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5" l="1"/>
  <c r="P21" i="5" s="1"/>
  <c r="Q21" i="5" s="1"/>
  <c r="L21" i="5"/>
  <c r="P20" i="5"/>
  <c r="Q20" i="5" s="1"/>
  <c r="M20" i="5"/>
  <c r="L20" i="5"/>
  <c r="M19" i="5"/>
  <c r="P19" i="5" s="1"/>
  <c r="Q19" i="5" s="1"/>
  <c r="L19" i="5"/>
  <c r="P18" i="5"/>
  <c r="Q18" i="5" s="1"/>
  <c r="M18" i="5"/>
  <c r="L18" i="5"/>
  <c r="M17" i="5"/>
  <c r="P17" i="5" s="1"/>
  <c r="Q17" i="5" s="1"/>
  <c r="L17" i="5"/>
  <c r="P16" i="5"/>
  <c r="Q16" i="5" s="1"/>
  <c r="M16" i="5"/>
  <c r="L16" i="5"/>
  <c r="M15" i="5"/>
  <c r="P15" i="5" s="1"/>
  <c r="Q15" i="5" s="1"/>
  <c r="L15" i="5"/>
  <c r="P14" i="5"/>
  <c r="Q14" i="5" s="1"/>
  <c r="M14" i="5"/>
  <c r="L14" i="5"/>
  <c r="M13" i="5"/>
  <c r="P13" i="5" s="1"/>
  <c r="Q13" i="5" s="1"/>
  <c r="L13" i="5"/>
  <c r="P12" i="5"/>
  <c r="Q12" i="5" s="1"/>
  <c r="M12" i="5"/>
  <c r="L12" i="5"/>
  <c r="M11" i="5"/>
  <c r="P11" i="5" s="1"/>
  <c r="Q11" i="5" s="1"/>
  <c r="L11" i="5"/>
  <c r="P10" i="5"/>
  <c r="Q10" i="5" s="1"/>
  <c r="M10" i="5"/>
  <c r="L10" i="5"/>
  <c r="M9" i="5"/>
  <c r="P9" i="5" s="1"/>
  <c r="Q9" i="5" s="1"/>
  <c r="L9" i="5"/>
  <c r="P8" i="5"/>
  <c r="Q8" i="5" s="1"/>
  <c r="M8" i="5"/>
  <c r="L8" i="5"/>
  <c r="M7" i="5"/>
  <c r="P7" i="5" s="1"/>
  <c r="Q7" i="5" s="1"/>
  <c r="L7" i="5"/>
  <c r="P6" i="5"/>
  <c r="Q6" i="5" s="1"/>
  <c r="M6" i="5"/>
  <c r="L6" i="5"/>
  <c r="M5" i="5"/>
  <c r="P5" i="5" s="1"/>
  <c r="Q5" i="5" s="1"/>
  <c r="L5" i="5"/>
  <c r="P4" i="5"/>
  <c r="Q4" i="5" s="1"/>
  <c r="M4" i="5"/>
  <c r="L4" i="5"/>
  <c r="M3" i="5"/>
  <c r="P3" i="5" s="1"/>
  <c r="Q3" i="5" s="1"/>
  <c r="L3" i="5"/>
  <c r="M21" i="4"/>
  <c r="P21" i="4" s="1"/>
  <c r="Q21" i="4" s="1"/>
  <c r="L21" i="4"/>
  <c r="M20" i="4"/>
  <c r="P20" i="4" s="1"/>
  <c r="Q20" i="4" s="1"/>
  <c r="L20" i="4"/>
  <c r="M19" i="4"/>
  <c r="P19" i="4" s="1"/>
  <c r="Q19" i="4" s="1"/>
  <c r="L19" i="4"/>
  <c r="M18" i="4"/>
  <c r="P18" i="4" s="1"/>
  <c r="Q18" i="4" s="1"/>
  <c r="L18" i="4"/>
  <c r="M17" i="4"/>
  <c r="P17" i="4" s="1"/>
  <c r="Q17" i="4" s="1"/>
  <c r="L17" i="4"/>
  <c r="M16" i="4"/>
  <c r="P16" i="4" s="1"/>
  <c r="Q16" i="4" s="1"/>
  <c r="L16" i="4"/>
  <c r="M15" i="4"/>
  <c r="P15" i="4" s="1"/>
  <c r="L15" i="4"/>
  <c r="M14" i="4"/>
  <c r="P14" i="4" s="1"/>
  <c r="Q14" i="4" s="1"/>
  <c r="L14" i="4"/>
  <c r="M13" i="4"/>
  <c r="P13" i="4" s="1"/>
  <c r="L13" i="4"/>
  <c r="M12" i="4"/>
  <c r="P12" i="4" s="1"/>
  <c r="Q12" i="4" s="1"/>
  <c r="L12" i="4"/>
  <c r="M11" i="4"/>
  <c r="P11" i="4" s="1"/>
  <c r="L11" i="4"/>
  <c r="M10" i="4"/>
  <c r="P10" i="4" s="1"/>
  <c r="Q10" i="4" s="1"/>
  <c r="L10" i="4"/>
  <c r="M9" i="4"/>
  <c r="P9" i="4" s="1"/>
  <c r="L9" i="4"/>
  <c r="P8" i="4"/>
  <c r="Q8" i="4" s="1"/>
  <c r="M8" i="4"/>
  <c r="L8" i="4"/>
  <c r="M7" i="4"/>
  <c r="P7" i="4" s="1"/>
  <c r="L7" i="4"/>
  <c r="P6" i="4"/>
  <c r="Q6" i="4" s="1"/>
  <c r="M6" i="4"/>
  <c r="L6" i="4"/>
  <c r="M5" i="4"/>
  <c r="P5" i="4" s="1"/>
  <c r="Q5" i="4" s="1"/>
  <c r="L5" i="4"/>
  <c r="M4" i="4"/>
  <c r="P4" i="4" s="1"/>
  <c r="Q4" i="4" s="1"/>
  <c r="L4" i="4"/>
  <c r="M3" i="4"/>
  <c r="P3" i="4" s="1"/>
  <c r="Q3" i="4" s="1"/>
  <c r="L3" i="4"/>
  <c r="Q15" i="4" l="1"/>
  <c r="Q9" i="4"/>
  <c r="Q13" i="4"/>
  <c r="Q7" i="4"/>
  <c r="Q11" i="4"/>
  <c r="B19" i="2"/>
  <c r="B17" i="2"/>
  <c r="B16" i="2"/>
  <c r="B15" i="2"/>
  <c r="B14" i="2"/>
  <c r="B13" i="2"/>
  <c r="B20" i="2" s="1"/>
  <c r="B21" i="2" l="1"/>
  <c r="B22" i="2" s="1"/>
  <c r="E3" i="2" s="1"/>
</calcChain>
</file>

<file path=xl/sharedStrings.xml><?xml version="1.0" encoding="utf-8"?>
<sst xmlns="http://schemas.openxmlformats.org/spreadsheetml/2006/main" count="4292867709" uniqueCount="105">
  <si>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</si>
  <si>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</si>
  <si>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</si>
  <si>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</si>
  <si>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</si>
  <si>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</si>
  <si>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</si>
  <si>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</si>
  <si>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</si>
  <si>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</si>
  <si>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</si>
  <si>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</si>
  <si>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</si>
  <si>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</si>
  <si>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</si>
  <si>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</si>
  <si>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</si>
  <si>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</si>
  <si>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</si>
  <si>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</si>
  <si>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Order ID</t>
  </si>
  <si>
    <t>Order Date</t>
  </si>
  <si>
    <t>Ship Date</t>
  </si>
  <si>
    <t>Product Category</t>
  </si>
  <si>
    <t>Sub-Category</t>
  </si>
  <si>
    <t>Australia</t>
  </si>
  <si>
    <t>Order_Source</t>
  </si>
  <si>
    <t>Customer_ID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</si>
  <si>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</si>
  <si>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</si>
  <si>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</si>
  <si>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</si>
  <si>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</si>
  <si>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</si>
  <si>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</si>
  <si>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</si>
  <si>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</si>
  <si>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</si>
  <si>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GE-2018-15108</t>
  </si>
  <si>
    <t>Technology</t>
  </si>
  <si>
    <t>Phones</t>
  </si>
  <si>
    <t>Germany</t>
  </si>
  <si>
    <t>Flipkart</t>
  </si>
  <si>
    <t>CS-04692</t>
  </si>
  <si>
    <t>Critical</t>
  </si>
  <si>
    <t>AU-2018-97532</t>
  </si>
  <si>
    <t>Office_Supplies</t>
  </si>
  <si>
    <t>Chairs</t>
  </si>
  <si>
    <t>MG-21584</t>
  </si>
  <si>
    <t>Medium</t>
  </si>
  <si>
    <t>IN-2018-62406</t>
  </si>
  <si>
    <t>Accessories</t>
  </si>
  <si>
    <t>India</t>
  </si>
  <si>
    <t>Amazon</t>
  </si>
  <si>
    <t>ML-21811</t>
  </si>
  <si>
    <t>IN-2018-53340</t>
  </si>
  <si>
    <t>Furniture</t>
  </si>
  <si>
    <t>Bookcases</t>
  </si>
  <si>
    <t>RD-27712</t>
  </si>
  <si>
    <t>IN-2018-71010</t>
  </si>
  <si>
    <t>Snapdeal</t>
  </si>
  <si>
    <t>SN-28948</t>
  </si>
  <si>
    <t>IN-2018-19364</t>
  </si>
  <si>
    <t>Envelopes</t>
  </si>
  <si>
    <t>India Mart</t>
  </si>
  <si>
    <t>MM-22019</t>
  </si>
  <si>
    <t>GE-2018-38242</t>
  </si>
  <si>
    <t>Tables</t>
  </si>
  <si>
    <t>JO-16901</t>
  </si>
  <si>
    <t>AU-2018-43600</t>
  </si>
  <si>
    <t>Binders</t>
  </si>
  <si>
    <t>CS-08000</t>
  </si>
  <si>
    <t>CH-2018-73875</t>
  </si>
  <si>
    <t>Fasteners</t>
  </si>
  <si>
    <t>China</t>
  </si>
  <si>
    <t>JE-16318</t>
  </si>
  <si>
    <t>AU-2018-88091</t>
  </si>
  <si>
    <t>CM-06731</t>
  </si>
  <si>
    <t>High</t>
  </si>
  <si>
    <t>AU-2018-25092</t>
  </si>
  <si>
    <t>Furnishings</t>
  </si>
  <si>
    <t>VP-33803</t>
  </si>
  <si>
    <t>IN-2018-77633</t>
  </si>
  <si>
    <t>Referral</t>
  </si>
  <si>
    <t>JC-15796</t>
  </si>
  <si>
    <t>Low</t>
  </si>
  <si>
    <t>AU-2018-95331</t>
  </si>
  <si>
    <t>PK-26161</t>
  </si>
  <si>
    <t>GE-2018-28642</t>
  </si>
  <si>
    <t>Storage</t>
  </si>
  <si>
    <t>RC-27506</t>
  </si>
  <si>
    <t>IN-2018-87730</t>
  </si>
  <si>
    <t>Paper</t>
  </si>
  <si>
    <t>KC-18740</t>
  </si>
  <si>
    <t>CH-2018-64443</t>
  </si>
  <si>
    <t>AB-01473</t>
  </si>
  <si>
    <t>AU-2018-31068</t>
  </si>
  <si>
    <t>CL-06572</t>
  </si>
  <si>
    <t>CH-2018-30935</t>
  </si>
  <si>
    <t>DP-08734</t>
  </si>
  <si>
    <t>AU-2018-21093</t>
  </si>
  <si>
    <t>Website</t>
  </si>
  <si>
    <t>LD-20693</t>
  </si>
  <si>
    <t>Category</t>
  </si>
  <si>
    <t>Sub Category</t>
  </si>
  <si>
    <t>Supplies</t>
  </si>
  <si>
    <t>Art</t>
  </si>
  <si>
    <t>Machines</t>
  </si>
  <si>
    <t>Copiers</t>
  </si>
  <si>
    <t>Labels</t>
  </si>
  <si>
    <t>Appliances</t>
  </si>
  <si>
    <t>1st 2 Char from Country
3rd Char as "-"
Middle 4 represent year
8th Char as "-"
Last 5 Numbers</t>
  </si>
  <si>
    <t xml:space="preserve">Belong to Source List-
Category  </t>
  </si>
  <si>
    <t>Based on Category
dropdown of Sub-Category</t>
  </si>
  <si>
    <t>Country</t>
  </si>
  <si>
    <t>Should be 
always positive</t>
  </si>
  <si>
    <t>Date should
 be between
 FY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</si>
</sst>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₹-449]\ ###0.00"/>
    <numFmt numFmtId="165" formatCode="&quot;₹&quot;\ #,##0.00"/>
    <numFmt numFmtId="166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5" fontId="3" fillId="0" borderId="1" xfId="0" applyNumberFormat="1" applyFont="1" applyBorder="1"/>
    <xf numFmtId="0" fontId="2" fillId="3" borderId="1" xfId="0" applyFont="1" applyFill="1" applyBorder="1"/>
    <xf numFmtId="0" fontId="2" fillId="4" borderId="1" xfId="1" applyNumberFormat="1" applyFont="1" applyFill="1" applyBorder="1"/>
    <xf numFmtId="165" fontId="2" fillId="4" borderId="1" xfId="0" applyNumberFormat="1" applyFont="1" applyFill="1" applyBorder="1"/>
    <xf numFmtId="165" fontId="2" fillId="4" borderId="0" xfId="0" applyNumberFormat="1" applyFont="1" applyFill="1"/>
    <xf numFmtId="164" fontId="2" fillId="3" borderId="1" xfId="0" applyNumberFormat="1" applyFont="1" applyFill="1" applyBorder="1"/>
    <xf numFmtId="0" fontId="0" fillId="5" borderId="2" xfId="0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166" fontId="2" fillId="4" borderId="1" xfId="0" applyNumberFormat="1" applyFont="1" applyFill="1" applyBorder="1"/>
    <xf numFmtId="166" fontId="0" fillId="0" borderId="1" xfId="0" applyNumberFormat="1" applyBorder="1"/>
    <xf numFmtId="166" fontId="0" fillId="0" borderId="0" xfId="0" applyNumberFormat="1"/>
    <xf numFmtId="166" fontId="3" fillId="0" borderId="1" xfId="0" applyNumberFormat="1" applyFont="1" applyBorder="1"/>
    <xf numFmtId="166" fontId="2" fillId="4" borderId="0" xfId="0" applyNumberFormat="1" applyFont="1" applyFill="1"/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898D-4550-4948-BCF0-EC9DCA5034B2}" name="Table13" displayName="Table13" ref="A2:R21" totalsRowShown="0">
  <autoFilter ref="A2:R21" xr:uid="{7D92898D-4550-4948-BCF0-EC9DCA5034B2}"/>
  <tableColumns count="18">
    <tableColumn id="1" xr3:uid="{41DE26CB-68DE-4528-863D-E4E7EF155B19}" name="Order ID"/>
    <tableColumn id="2" xr3:uid="{AAE6399B-839C-495E-9B7A-9DE6BA1B1F15}" name="Order Date" dataDxfId="3"/>
    <tableColumn id="3" xr3:uid="{BA853FD7-7063-47A9-93B9-7D368553E99F}" name="Ship Date" dataDxfId="2"/>
    <tableColumn id="4" xr3:uid="{94C4657C-D6BB-4917-80AF-1E72DE67890E}" name="Product Category"/>
    <tableColumn id="18" xr3:uid="{FBE05749-A8A3-4D79-8D8A-741F3BBB9512}" name="Sub-Category"/>
    <tableColumn id="19" xr3:uid="{D674AF26-9A95-4B31-A5D5-17974DDCF87C}" name="Country"/>
    <tableColumn id="5" xr3:uid="{10B2515B-B4E5-4BB8-B753-EAC0B1623FA4}" name="Order_Source"/>
    <tableColumn id="6" xr3:uid="{EADA8946-0745-474E-A813-27CA00F70919}" name="Customer_ID"/>
    <tableColumn id="8" xr3:uid="{1CD3B5B6-0E53-4C7F-8AD2-794D0E928432}" name="Price"/>
    <tableColumn id="9" xr3:uid="{B142E4A7-D7B9-4E91-BC86-FE1923DAF718}" name="Cost"/>
    <tableColumn id="10" xr3:uid="{E7918ABD-AAB5-45D9-8F07-A41E58AF293E}" name="Quantity"/>
    <tableColumn id="11" xr3:uid="{5084ECB7-DC23-4BBD-9B0C-68165F5FC8A4}" name="Total_Cost">
      <calculatedColumnFormula>J3*K3</calculatedColumnFormula>
    </tableColumn>
    <tableColumn id="12" xr3:uid="{82CF9F0D-82A2-45E6-BDC6-DBBE70C2C5C5}" name="Tota_Sales">
      <calculatedColumnFormula>I3*K3</calculatedColumnFormula>
    </tableColumn>
    <tableColumn id="13" xr3:uid="{5B192D05-77A7-446A-B8C4-77DE8196E8A3}" name="Discount"/>
    <tableColumn id="14" xr3:uid="{DDC13517-280C-47E3-8026-B46FA68F437A}" name="Shiping Cost"/>
    <tableColumn id="15" xr3:uid="{4C7D0045-12EB-44BA-A8F4-3315735BB208}" name="Tot_Sales_Amt">
      <calculatedColumnFormula>M3-(M3*N3)+O3</calculatedColumnFormula>
    </tableColumn>
    <tableColumn id="16" xr3:uid="{887C6225-E059-44BC-8462-6C597E843CF0}" name="Profit">
      <calculatedColumnFormula>P3-L3</calculatedColumnFormula>
    </tableColumn>
    <tableColumn id="17" xr3:uid="{7BCD636A-59C8-4643-8AEE-A08DC9275F35}" name="Order Prior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C9B4-23C2-432E-95EC-07AF7596BEAE}" name="Table134" displayName="Table134" ref="A2:R21" totalsRowShown="0">
  <autoFilter ref="A2:R21" xr:uid="{EA2FC9B4-23C2-432E-95EC-07AF7596BEAE}"/>
  <tableColumns count="18">
    <tableColumn id="1" xr3:uid="{3ECD50E5-B3A1-445E-BFDA-A0E72C32D38A}" name="Order ID"/>
    <tableColumn id="2" xr3:uid="{BF07A39B-35FC-4209-96BC-FEAC982BD040}" name="Order Date" dataDxfId="1"/>
    <tableColumn id="3" xr3:uid="{D6BD495D-A68A-4721-BDBC-C5F1CBA1F296}" name="Ship Date" dataDxfId="0"/>
    <tableColumn id="4" xr3:uid="{33509947-8646-4324-98E2-231E368F1E0C}" name="Product Category"/>
    <tableColumn id="18" xr3:uid="{2E220A5A-F5A5-4AD2-9BDE-1875296A41D6}" name="Sub-Category"/>
    <tableColumn id="19" xr3:uid="{26EAD1B7-3EDB-4284-ABB3-6D25A30D0A50}" name="Country"/>
    <tableColumn id="5" xr3:uid="{F963E752-162C-478E-9990-7C3F045F653D}" name="Order_Source"/>
    <tableColumn id="6" xr3:uid="{BE2175D3-7B19-4172-A8CD-A7575C62BC2E}" name="Customer_ID"/>
    <tableColumn id="8" xr3:uid="{2C6B48B4-DB71-4ABB-856F-3739624FAB7D}" name="Price"/>
    <tableColumn id="9" xr3:uid="{5574EAD1-7AF1-4156-A74B-952DD266DD1B}" name="Cost"/>
    <tableColumn id="10" xr3:uid="{5C562C76-821F-45DC-920C-9CD12A0768D5}" name="Quantity"/>
    <tableColumn id="11" xr3:uid="{3DBF1605-98E0-45AD-8744-75E695FB0C2F}" name="Total_Cost">
      <calculatedColumnFormula>J3*K3</calculatedColumnFormula>
    </tableColumn>
    <tableColumn id="12" xr3:uid="{77636F66-116D-42A8-A5D3-566B7F660BB7}" name="Tota_Sales">
      <calculatedColumnFormula>I3*K3</calculatedColumnFormula>
    </tableColumn>
    <tableColumn id="13" xr3:uid="{1DED167D-0F3B-4359-8BF4-03F288CF597A}" name="Discount"/>
    <tableColumn id="14" xr3:uid="{A895F72D-698C-4A5A-A81E-A96F96F6BA4A}" name="Shiping Cost"/>
    <tableColumn id="15" xr3:uid="{9D07FE1E-0A1E-47E0-AEB3-5879D9144899}" name="Tot_Sales_Amt">
      <calculatedColumnFormula>M3-(M3*N3)+O3</calculatedColumnFormula>
    </tableColumn>
    <tableColumn id="16" xr3:uid="{19687D63-019E-4DF5-BFA9-029CF82A5A3A}" name="Profit">
      <calculatedColumnFormula>P3-L3</calculatedColumnFormula>
    </tableColumn>
    <tableColumn id="17" xr3:uid="{D05472CB-9A2A-41B9-9A69-C95B5239EED5}" name="Order 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A12-899A-4325-B6D9-30A284F139D2}">
  <dimension ref="A1:J22"/>
  <sheetViews>
    <sheetView zoomScale="120" zoomScaleNormal="120" workbookViewId="0">
      <selection activeCell="D9" sqref="D9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2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16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17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17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17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17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17">
        <f>B8</f>
        <v>50000</v>
      </c>
    </row>
    <row r="18" spans="1:2" x14ac:dyDescent="0.3">
      <c r="B18" s="18"/>
    </row>
    <row r="19" spans="1:2" x14ac:dyDescent="0.3">
      <c r="A19" s="3" t="s">
        <v>17</v>
      </c>
      <c r="B19" s="17">
        <f>B12*B11</f>
        <v>800000</v>
      </c>
    </row>
    <row r="20" spans="1:2" x14ac:dyDescent="0.3">
      <c r="A20" s="3" t="s">
        <v>18</v>
      </c>
      <c r="B20" s="17">
        <f>SUM(B13:B17)</f>
        <v>348000</v>
      </c>
    </row>
    <row r="21" spans="1:2" x14ac:dyDescent="0.3">
      <c r="A21" s="3" t="s">
        <v>19</v>
      </c>
      <c r="B21" s="17">
        <f>B19*5%</f>
        <v>40000</v>
      </c>
    </row>
    <row r="22" spans="1:2" x14ac:dyDescent="0.3">
      <c r="A22" s="1" t="s">
        <v>3</v>
      </c>
      <c r="B22" s="19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41D-29AC-4F94-B657-587409342149}">
  <dimension ref="A1:J22"/>
  <sheetViews>
    <sheetView zoomScale="110" zoomScaleNormal="110" workbookViewId="0">
      <selection activeCell="E22" sqref="E22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10"/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/>
      <c r="G4" s="3"/>
      <c r="H4" s="3"/>
      <c r="I4" s="3"/>
      <c r="J4" s="3"/>
    </row>
    <row r="5" spans="1:10" x14ac:dyDescent="0.3">
      <c r="A5" s="3" t="s">
        <v>5</v>
      </c>
      <c r="B5" s="4">
        <v>1200</v>
      </c>
      <c r="E5" s="7">
        <v>15000</v>
      </c>
      <c r="F5" s="3"/>
      <c r="G5" s="3"/>
      <c r="H5" s="3"/>
      <c r="I5" s="3"/>
      <c r="J5" s="3"/>
    </row>
    <row r="6" spans="1:10" x14ac:dyDescent="0.3">
      <c r="A6" s="3" t="s">
        <v>6</v>
      </c>
      <c r="B6" s="4">
        <v>3000</v>
      </c>
      <c r="E6" s="7">
        <v>20000</v>
      </c>
      <c r="F6" s="3"/>
      <c r="G6" s="3"/>
      <c r="H6" s="3"/>
      <c r="I6" s="3"/>
      <c r="J6" s="3"/>
    </row>
    <row r="7" spans="1:10" x14ac:dyDescent="0.3">
      <c r="A7" s="3" t="s">
        <v>7</v>
      </c>
      <c r="B7" s="4">
        <v>2000</v>
      </c>
      <c r="E7" s="7">
        <v>25000</v>
      </c>
      <c r="F7" s="3"/>
      <c r="G7" s="3"/>
      <c r="H7" s="3"/>
      <c r="I7" s="3"/>
      <c r="J7" s="3"/>
    </row>
    <row r="8" spans="1:10" x14ac:dyDescent="0.3">
      <c r="A8" s="3" t="s">
        <v>8</v>
      </c>
      <c r="B8" s="4">
        <v>50000</v>
      </c>
      <c r="E8" s="7">
        <v>30000</v>
      </c>
      <c r="F8" s="3"/>
      <c r="G8" s="3"/>
      <c r="H8" s="3"/>
      <c r="I8" s="3"/>
      <c r="J8" s="3"/>
    </row>
    <row r="9" spans="1:10" x14ac:dyDescent="0.3">
      <c r="E9" s="7">
        <v>35000</v>
      </c>
      <c r="F9" s="3"/>
      <c r="G9" s="3"/>
      <c r="H9" s="3"/>
      <c r="I9" s="3"/>
      <c r="J9" s="3"/>
    </row>
    <row r="10" spans="1:10" x14ac:dyDescent="0.3">
      <c r="A10" s="1" t="s">
        <v>9</v>
      </c>
      <c r="B10" s="2"/>
      <c r="E10" s="7">
        <v>40000</v>
      </c>
      <c r="F10" s="3"/>
      <c r="G10" s="3"/>
      <c r="H10" s="3"/>
      <c r="I10" s="3"/>
      <c r="J10" s="3"/>
    </row>
    <row r="11" spans="1:10" x14ac:dyDescent="0.3">
      <c r="A11" s="3" t="s">
        <v>10</v>
      </c>
      <c r="B11" s="8">
        <v>40</v>
      </c>
      <c r="E11" s="7">
        <v>45000</v>
      </c>
      <c r="F11" s="3"/>
      <c r="G11" s="3"/>
      <c r="H11" s="3"/>
      <c r="I11" s="3"/>
      <c r="J11" s="3"/>
    </row>
    <row r="12" spans="1:10" x14ac:dyDescent="0.3">
      <c r="A12" s="3" t="s">
        <v>11</v>
      </c>
      <c r="B12" s="9">
        <v>20000</v>
      </c>
      <c r="E12" s="7">
        <v>50000</v>
      </c>
      <c r="F12" s="3"/>
      <c r="G12" s="3"/>
      <c r="H12" s="3"/>
      <c r="I12" s="3"/>
      <c r="J12" s="3"/>
    </row>
    <row r="13" spans="1:10" x14ac:dyDescent="0.3">
      <c r="A13" s="3" t="s">
        <v>12</v>
      </c>
      <c r="B13" s="4"/>
      <c r="E13" s="7">
        <v>55000</v>
      </c>
      <c r="F13" s="3"/>
      <c r="G13" s="3"/>
      <c r="H13" s="3"/>
      <c r="I13" s="3"/>
      <c r="J13" s="3"/>
    </row>
    <row r="14" spans="1:10" x14ac:dyDescent="0.3">
      <c r="A14" s="3" t="s">
        <v>13</v>
      </c>
      <c r="B14" s="4"/>
      <c r="E14" s="7">
        <v>60000</v>
      </c>
      <c r="F14" s="3"/>
      <c r="G14" s="3"/>
      <c r="H14" s="3"/>
      <c r="I14" s="3"/>
      <c r="J14" s="3"/>
    </row>
    <row r="15" spans="1:10" x14ac:dyDescent="0.3">
      <c r="A15" s="3" t="s">
        <v>14</v>
      </c>
      <c r="B15" s="4"/>
      <c r="E15" s="7">
        <v>65000</v>
      </c>
      <c r="F15" s="3"/>
      <c r="G15" s="3"/>
      <c r="H15" s="3"/>
      <c r="I15" s="3"/>
      <c r="J15" s="3"/>
    </row>
    <row r="16" spans="1:10" x14ac:dyDescent="0.3">
      <c r="A16" s="3" t="s">
        <v>15</v>
      </c>
      <c r="B16" s="4"/>
      <c r="E16" s="7">
        <v>70000</v>
      </c>
      <c r="F16" s="3"/>
      <c r="G16" s="3"/>
      <c r="H16" s="3"/>
      <c r="I16" s="3"/>
      <c r="J16" s="3"/>
    </row>
    <row r="17" spans="1:2" x14ac:dyDescent="0.3">
      <c r="A17" s="3" t="s">
        <v>16</v>
      </c>
      <c r="B17" s="4"/>
    </row>
    <row r="19" spans="1:2" x14ac:dyDescent="0.3">
      <c r="A19" s="3" t="s">
        <v>17</v>
      </c>
      <c r="B19" s="4"/>
    </row>
    <row r="20" spans="1:2" x14ac:dyDescent="0.3">
      <c r="A20" s="3" t="s">
        <v>18</v>
      </c>
      <c r="B20" s="4"/>
    </row>
    <row r="21" spans="1:2" x14ac:dyDescent="0.3">
      <c r="A21" s="3" t="s">
        <v>19</v>
      </c>
      <c r="B21" s="4"/>
    </row>
    <row r="22" spans="1:2" x14ac:dyDescent="0.3">
      <c r="A22" s="1" t="s">
        <v>3</v>
      </c>
      <c r="B22" s="6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6CA-4082-4A46-BD9D-65CB3AEF0689}">
  <dimension ref="A1:R21"/>
  <sheetViews>
    <sheetView workbookViewId="0">
      <selection activeCell="A2" sqref="A2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3">
    <dataValidation type="whole" operator="greaterThanOrEqual" allowBlank="1" showInputMessage="1" showErrorMessage="1" errorTitle="Qty Error" error="Qty cannot be text or -ve" promptTitle="Qty " prompt="Enter the Qty order" sqref="K3:K21" xr:uid="{6F0B33A5-C72B-46EC-9C6E-41A233BAD50D}">
      <formula1>1</formula1>
    </dataValidation>
    <dataValidation type="list" allowBlank="1" showInputMessage="1" showErrorMessage="1" sqref="E3:E21" xr:uid="{DCEB368A-2A60-4D2E-9F4F-578D301CC40A}">
      <formula1>INDIRECT(D3)</formula1>
    </dataValidation>
    <dataValidation type="date" operator="greaterThanOrEqual" allowBlank="1" showInputMessage="1" showErrorMessage="1" sqref="C3:C21" xr:uid="{4AAF7BE0-AC40-499B-84BB-A5758CBF3A59}">
      <formula1>B3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A60-0126-4CCC-A631-C892639E657F}">
  <dimension ref="A1:R21"/>
  <sheetViews>
    <sheetView workbookViewId="0"/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EA-8542-4FDF-B102-1FF9D02FB249}">
  <dimension ref="A1:E12"/>
  <sheetViews>
    <sheetView tabSelected="1" workbookViewId="0">
      <selection activeCell="J18" sqref="J18"/>
    </sheetView>
  </sheetViews>
  <sheetFormatPr defaultRowHeight="14.4" x14ac:dyDescent="0.3"/>
  <cols>
    <col min="1" max="1" width="16.33203125" customWidth="1"/>
    <col min="3" max="5" width="13.44140625" customWidth="1"/>
  </cols>
  <sheetData>
    <row r="1" spans="1:5" x14ac:dyDescent="0.3">
      <c r="A1" s="12" t="s">
        <v>103</v>
      </c>
      <c r="C1" t="s">
        <v>104</v>
      </c>
    </row>
    <row r="2" spans="1:5" x14ac:dyDescent="0.3">
      <c r="A2" s="13" t="s">
        <v>56</v>
      </c>
    </row>
    <row r="3" spans="1:5" x14ac:dyDescent="0.3">
      <c r="A3" s="13" t="s">
        <v>46</v>
      </c>
      <c r="C3" s="12" t="s">
        <v>56</v>
      </c>
      <c r="D3" s="12" t="s">
        <v>46</v>
      </c>
      <c r="E3" s="12" t="s">
        <v>39</v>
      </c>
    </row>
    <row r="4" spans="1:5" x14ac:dyDescent="0.3">
      <c r="A4" s="13" t="s">
        <v>39</v>
      </c>
      <c r="C4" s="13" t="s">
        <v>80</v>
      </c>
      <c r="D4" s="13" t="s">
        <v>105</v>
      </c>
      <c r="E4" s="13" t="s">
        <v>40</v>
      </c>
    </row>
    <row r="5" spans="1:5" x14ac:dyDescent="0.3">
      <c r="C5" s="13" t="s">
        <v>47</v>
      </c>
      <c r="D5" s="13" t="s">
        <v>63</v>
      </c>
      <c r="E5" s="13" t="s">
        <v>51</v>
      </c>
    </row>
    <row r="6" spans="1:5" x14ac:dyDescent="0.3">
      <c r="C6" s="13" t="s">
        <v>57</v>
      </c>
      <c r="D6" s="13" t="s">
        <v>106</v>
      </c>
      <c r="E6" s="13" t="s">
        <v>107</v>
      </c>
    </row>
    <row r="7" spans="1:5" x14ac:dyDescent="0.3">
      <c r="C7" s="13" t="s">
        <v>67</v>
      </c>
      <c r="D7" s="13" t="s">
        <v>70</v>
      </c>
      <c r="E7" s="13" t="s">
        <v>108</v>
      </c>
    </row>
    <row r="8" spans="1:5" x14ac:dyDescent="0.3">
      <c r="D8" s="13" t="s">
        <v>73</v>
      </c>
    </row>
    <row r="9" spans="1:5" x14ac:dyDescent="0.3">
      <c r="D9" s="13" t="s">
        <v>92</v>
      </c>
    </row>
    <row r="10" spans="1:5" x14ac:dyDescent="0.3">
      <c r="D10" s="13" t="s">
        <v>89</v>
      </c>
    </row>
    <row r="11" spans="1:5" x14ac:dyDescent="0.3">
      <c r="D11" s="13" t="s">
        <v>109</v>
      </c>
    </row>
    <row r="12" spans="1:5" x14ac:dyDescent="0.3">
      <c r="D12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Table-S</vt:lpstr>
      <vt:lpstr>Data Table-UnS</vt:lpstr>
      <vt:lpstr>Data Validation-S</vt:lpstr>
      <vt:lpstr>Data Validation-UnS</vt:lpstr>
      <vt:lpstr>Source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jayshree tawari</cp:lastModifiedBy>
  <dcterms:created xsi:type="dcterms:W3CDTF">2023-07-17T16:22:45Z</dcterms:created>
  <dcterms:modified xsi:type="dcterms:W3CDTF">2023-07-27T01:45:18Z</dcterms:modified>
</cp:coreProperties>
</file>