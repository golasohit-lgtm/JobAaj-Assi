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las\OneDrive\Desktop\jobaaj\"/>
    </mc:Choice>
  </mc:AlternateContent>
  <xr:revisionPtr revIDLastSave="0" documentId="13_ncr:1_{72E9013A-6A3E-4B1C-B94A-70BDF045B04F}" xr6:coauthVersionLast="40" xr6:coauthVersionMax="40" xr10:uidLastSave="{00000000-0000-0000-0000-000000000000}"/>
  <bookViews>
    <workbookView xWindow="0" yWindow="0" windowWidth="15345" windowHeight="4380" firstSheet="3" activeTab="9" xr2:uid="{FFCCFE20-2F1B-48BE-AFAD-297BFE6FCD98}"/>
  </bookViews>
  <sheets>
    <sheet name="Sheet1" sheetId="1" r:id="rId1"/>
    <sheet name="Model" sheetId="2" r:id="rId2"/>
    <sheet name="Scenarios" sheetId="3" r:id="rId3"/>
    <sheet name="Comps" sheetId="4" r:id="rId4"/>
    <sheet name="Comps Data" sheetId="5" r:id="rId5"/>
    <sheet name="Market Data" sheetId="6" r:id="rId6"/>
    <sheet name="WACC" sheetId="7" r:id="rId7"/>
    <sheet name="Beta" sheetId="8" r:id="rId8"/>
    <sheet name="DCF Model" sheetId="10" r:id="rId9"/>
    <sheet name="Sensitivity Analysis" sheetId="11" r:id="rId10"/>
  </sheets>
  <definedNames>
    <definedName name="_xlnm._FilterDatabase" localSheetId="5" hidden="1">'Market Data'!$D$6:$E$6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1" i="11" l="1"/>
  <c r="R12" i="11"/>
  <c r="F10" i="11"/>
  <c r="A1" i="11"/>
  <c r="L41" i="10"/>
  <c r="L40" i="10"/>
  <c r="L39" i="10"/>
  <c r="H45" i="10"/>
  <c r="H43" i="10"/>
  <c r="H42" i="10"/>
  <c r="H41" i="10"/>
  <c r="H40" i="10"/>
  <c r="H39" i="10"/>
  <c r="D45" i="10"/>
  <c r="D14" i="10"/>
  <c r="D43" i="10"/>
  <c r="D42" i="10"/>
  <c r="D41" i="10"/>
  <c r="D40" i="10"/>
  <c r="D39" i="10"/>
  <c r="J32" i="10"/>
  <c r="I32" i="10"/>
  <c r="H32" i="10"/>
  <c r="G32" i="10"/>
  <c r="F32" i="10"/>
  <c r="J30" i="10"/>
  <c r="N22" i="10"/>
  <c r="N21" i="10"/>
  <c r="D13" i="10"/>
  <c r="N20" i="10"/>
  <c r="D11" i="10"/>
  <c r="I30" i="10"/>
  <c r="H30" i="10"/>
  <c r="G30" i="10"/>
  <c r="F30" i="10"/>
  <c r="I29" i="10"/>
  <c r="H29" i="10"/>
  <c r="G29" i="10"/>
  <c r="F29" i="10"/>
  <c r="I28" i="10"/>
  <c r="H28" i="10"/>
  <c r="G28" i="10"/>
  <c r="F28" i="10"/>
  <c r="I27" i="10"/>
  <c r="H27" i="10"/>
  <c r="G27" i="10"/>
  <c r="F27" i="10"/>
  <c r="I26" i="10"/>
  <c r="H26" i="10"/>
  <c r="G26" i="10"/>
  <c r="F26" i="10"/>
  <c r="I25" i="10"/>
  <c r="H25" i="10"/>
  <c r="G25" i="10"/>
  <c r="F25" i="10"/>
  <c r="D10" i="10"/>
  <c r="I24" i="10"/>
  <c r="H24" i="10"/>
  <c r="G24" i="10"/>
  <c r="F24" i="10"/>
  <c r="F19" i="10"/>
  <c r="G19" i="10" s="1"/>
  <c r="H19" i="10" s="1"/>
  <c r="I19" i="10" s="1"/>
  <c r="E20" i="10"/>
  <c r="H20" i="10" s="1"/>
  <c r="A1" i="10"/>
  <c r="J8" i="8"/>
  <c r="I20" i="10" l="1"/>
  <c r="J20" i="10" s="1"/>
  <c r="F20" i="10"/>
  <c r="G20" i="10"/>
  <c r="H22" i="10" s="1"/>
  <c r="G22" i="10" l="1"/>
  <c r="F22" i="10"/>
  <c r="I22" i="10"/>
  <c r="J7" i="8" l="1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D77" i="8"/>
  <c r="D76" i="8"/>
  <c r="D75" i="8"/>
  <c r="D74" i="8"/>
  <c r="D73" i="8"/>
  <c r="D72" i="8"/>
  <c r="D71" i="8"/>
  <c r="D70" i="8"/>
  <c r="D69" i="8"/>
  <c r="D68" i="8"/>
  <c r="D67" i="8"/>
  <c r="D66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D43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D23" i="8"/>
  <c r="D22" i="8"/>
  <c r="D21" i="8"/>
  <c r="D20" i="8"/>
  <c r="D19" i="8"/>
  <c r="D18" i="8"/>
  <c r="D17" i="8"/>
  <c r="D16" i="8"/>
  <c r="D15" i="8"/>
  <c r="D14" i="8"/>
  <c r="D13" i="8"/>
  <c r="D12" i="8"/>
  <c r="D11" i="8"/>
  <c r="D10" i="8"/>
  <c r="D9" i="8"/>
  <c r="D8" i="8"/>
  <c r="D7" i="8"/>
  <c r="A1" i="8"/>
  <c r="J41" i="7"/>
  <c r="J43" i="7" s="1"/>
  <c r="J40" i="7"/>
  <c r="J39" i="7"/>
  <c r="J38" i="7"/>
  <c r="J34" i="7"/>
  <c r="J33" i="7"/>
  <c r="J32" i="7"/>
  <c r="J29" i="7"/>
  <c r="J28" i="7"/>
  <c r="J27" i="7"/>
  <c r="J25" i="7"/>
  <c r="J24" i="7"/>
  <c r="E18" i="7"/>
  <c r="D18" i="7"/>
  <c r="I16" i="7"/>
  <c r="I15" i="7"/>
  <c r="H14" i="7"/>
  <c r="H13" i="7"/>
  <c r="H12" i="7"/>
  <c r="H11" i="7"/>
  <c r="H10" i="7"/>
  <c r="H9" i="7"/>
  <c r="H8" i="7"/>
  <c r="H16" i="7" s="1"/>
  <c r="G14" i="7"/>
  <c r="G10" i="7"/>
  <c r="F14" i="7"/>
  <c r="J14" i="7" s="1"/>
  <c r="F13" i="7"/>
  <c r="J13" i="7" s="1"/>
  <c r="F10" i="7"/>
  <c r="J10" i="7" s="1"/>
  <c r="F9" i="7"/>
  <c r="J9" i="7" s="1"/>
  <c r="E14" i="7"/>
  <c r="E13" i="7"/>
  <c r="G13" i="7" s="1"/>
  <c r="E12" i="7"/>
  <c r="G12" i="7" s="1"/>
  <c r="E11" i="7"/>
  <c r="E10" i="7"/>
  <c r="E9" i="7"/>
  <c r="G9" i="7" s="1"/>
  <c r="E8" i="7"/>
  <c r="G8" i="7" s="1"/>
  <c r="D14" i="7"/>
  <c r="D13" i="7"/>
  <c r="D12" i="7"/>
  <c r="D11" i="7"/>
  <c r="F11" i="7" s="1"/>
  <c r="J11" i="7" s="1"/>
  <c r="D10" i="7"/>
  <c r="D9" i="7"/>
  <c r="D8" i="7"/>
  <c r="B14" i="7"/>
  <c r="B13" i="7"/>
  <c r="B12" i="7"/>
  <c r="B11" i="7"/>
  <c r="B10" i="7"/>
  <c r="B9" i="7"/>
  <c r="B8" i="7"/>
  <c r="A1" i="7"/>
  <c r="H7" i="6"/>
  <c r="H6" i="6"/>
  <c r="A1" i="6"/>
  <c r="E24" i="4"/>
  <c r="E23" i="4"/>
  <c r="F23" i="4" s="1"/>
  <c r="H23" i="4" s="1"/>
  <c r="J23" i="4" s="1"/>
  <c r="E22" i="4"/>
  <c r="G22" i="4"/>
  <c r="F22" i="4"/>
  <c r="H22" i="4" s="1"/>
  <c r="J22" i="4" s="1"/>
  <c r="J8" i="4"/>
  <c r="I24" i="4"/>
  <c r="I23" i="4"/>
  <c r="I22" i="4"/>
  <c r="G24" i="4"/>
  <c r="G23" i="4"/>
  <c r="H24" i="4"/>
  <c r="J24" i="4" s="1"/>
  <c r="Q19" i="4"/>
  <c r="R19" i="4"/>
  <c r="P19" i="4"/>
  <c r="N19" i="4"/>
  <c r="M19" i="4"/>
  <c r="L19" i="4"/>
  <c r="J19" i="4"/>
  <c r="J14" i="4"/>
  <c r="I19" i="4"/>
  <c r="H19" i="4"/>
  <c r="G19" i="4"/>
  <c r="F19" i="4"/>
  <c r="E19" i="4"/>
  <c r="R17" i="4"/>
  <c r="Q17" i="4"/>
  <c r="R16" i="4"/>
  <c r="Q16" i="4"/>
  <c r="P17" i="4"/>
  <c r="P16" i="4"/>
  <c r="Q14" i="4"/>
  <c r="Q13" i="4"/>
  <c r="Q12" i="4"/>
  <c r="Q11" i="4"/>
  <c r="Q10" i="4"/>
  <c r="Q9" i="4"/>
  <c r="R14" i="4"/>
  <c r="R13" i="4"/>
  <c r="R12" i="4"/>
  <c r="R11" i="4"/>
  <c r="R10" i="4"/>
  <c r="R9" i="4"/>
  <c r="R8" i="4"/>
  <c r="Q8" i="4"/>
  <c r="P14" i="4"/>
  <c r="P13" i="4"/>
  <c r="P12" i="4"/>
  <c r="P11" i="4"/>
  <c r="P10" i="4"/>
  <c r="P9" i="4"/>
  <c r="P8" i="4"/>
  <c r="N14" i="4"/>
  <c r="M14" i="4"/>
  <c r="L14" i="4"/>
  <c r="N13" i="4"/>
  <c r="M13" i="4"/>
  <c r="L13" i="4"/>
  <c r="N12" i="4"/>
  <c r="M12" i="4"/>
  <c r="L12" i="4"/>
  <c r="N11" i="4"/>
  <c r="M11" i="4"/>
  <c r="L11" i="4"/>
  <c r="N10" i="4"/>
  <c r="M10" i="4"/>
  <c r="L10" i="4"/>
  <c r="N9" i="4"/>
  <c r="M9" i="4"/>
  <c r="L9" i="4"/>
  <c r="N8" i="4"/>
  <c r="M8" i="4"/>
  <c r="L8" i="4"/>
  <c r="J13" i="4"/>
  <c r="J12" i="4"/>
  <c r="J11" i="4"/>
  <c r="J10" i="4"/>
  <c r="J9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G14" i="4"/>
  <c r="G13" i="4"/>
  <c r="G12" i="4"/>
  <c r="G11" i="4"/>
  <c r="G10" i="4"/>
  <c r="G9" i="4"/>
  <c r="G8" i="4"/>
  <c r="F14" i="4"/>
  <c r="F13" i="4"/>
  <c r="F12" i="4"/>
  <c r="F11" i="4"/>
  <c r="F10" i="4"/>
  <c r="F9" i="4"/>
  <c r="F8" i="4"/>
  <c r="E14" i="4"/>
  <c r="E13" i="4"/>
  <c r="E12" i="4"/>
  <c r="E11" i="4"/>
  <c r="E10" i="4"/>
  <c r="E9" i="4"/>
  <c r="E8" i="4"/>
  <c r="D14" i="4"/>
  <c r="D13" i="4"/>
  <c r="D12" i="4"/>
  <c r="D11" i="4"/>
  <c r="D10" i="4"/>
  <c r="D9" i="4"/>
  <c r="D8" i="4"/>
  <c r="A1" i="4"/>
  <c r="Q25" i="2"/>
  <c r="P25" i="2"/>
  <c r="O25" i="2"/>
  <c r="N25" i="2"/>
  <c r="M25" i="2"/>
  <c r="M80" i="2"/>
  <c r="M81" i="2" s="1"/>
  <c r="N80" i="2" s="1"/>
  <c r="N81" i="2" s="1"/>
  <c r="O80" i="2" s="1"/>
  <c r="O81" i="2" s="1"/>
  <c r="P80" i="2" s="1"/>
  <c r="P81" i="2" s="1"/>
  <c r="Q80" i="2" s="1"/>
  <c r="Q81" i="2" s="1"/>
  <c r="Q79" i="2"/>
  <c r="P79" i="2"/>
  <c r="O79" i="2"/>
  <c r="N79" i="2"/>
  <c r="M79" i="2"/>
  <c r="Q77" i="2"/>
  <c r="P77" i="2"/>
  <c r="O77" i="2"/>
  <c r="N77" i="2"/>
  <c r="M77" i="2"/>
  <c r="Q76" i="2"/>
  <c r="P76" i="2"/>
  <c r="O76" i="2"/>
  <c r="N76" i="2"/>
  <c r="M76" i="2"/>
  <c r="Q75" i="2"/>
  <c r="P75" i="2"/>
  <c r="O75" i="2"/>
  <c r="N75" i="2"/>
  <c r="M75" i="2"/>
  <c r="N74" i="2"/>
  <c r="O74" i="2" s="1"/>
  <c r="P74" i="2" s="1"/>
  <c r="Q74" i="2" s="1"/>
  <c r="M74" i="2"/>
  <c r="Q73" i="2"/>
  <c r="P73" i="2"/>
  <c r="O73" i="2"/>
  <c r="N73" i="2"/>
  <c r="M73" i="2"/>
  <c r="Q70" i="2"/>
  <c r="P70" i="2"/>
  <c r="O70" i="2"/>
  <c r="N70" i="2"/>
  <c r="M70" i="2"/>
  <c r="Q68" i="2"/>
  <c r="P68" i="2"/>
  <c r="O68" i="2"/>
  <c r="N68" i="2"/>
  <c r="M68" i="2"/>
  <c r="M66" i="2"/>
  <c r="Q66" i="2"/>
  <c r="P66" i="2"/>
  <c r="O66" i="2"/>
  <c r="N66" i="2"/>
  <c r="Q63" i="2"/>
  <c r="P63" i="2"/>
  <c r="O63" i="2"/>
  <c r="N63" i="2"/>
  <c r="M63" i="2"/>
  <c r="Q90" i="2"/>
  <c r="Q59" i="2" s="1"/>
  <c r="Q60" i="2" s="1"/>
  <c r="P90" i="2"/>
  <c r="P59" i="2" s="1"/>
  <c r="P60" i="2" s="1"/>
  <c r="O90" i="2"/>
  <c r="N90" i="2"/>
  <c r="M90" i="2"/>
  <c r="M59" i="2" s="1"/>
  <c r="M60" i="2" s="1"/>
  <c r="Q89" i="2"/>
  <c r="P89" i="2"/>
  <c r="O89" i="2"/>
  <c r="N89" i="2"/>
  <c r="M89" i="2"/>
  <c r="Q88" i="2"/>
  <c r="P88" i="2"/>
  <c r="O88" i="2"/>
  <c r="N88" i="2"/>
  <c r="M88" i="2"/>
  <c r="M87" i="2"/>
  <c r="N87" i="2"/>
  <c r="O87" i="2"/>
  <c r="P87" i="2"/>
  <c r="Q87" i="2"/>
  <c r="Q86" i="2"/>
  <c r="P86" i="2"/>
  <c r="O86" i="2"/>
  <c r="N86" i="2"/>
  <c r="M86" i="2"/>
  <c r="O59" i="2"/>
  <c r="O60" i="2" s="1"/>
  <c r="N59" i="2"/>
  <c r="N60" i="2" s="1"/>
  <c r="Q58" i="2"/>
  <c r="P58" i="2"/>
  <c r="O58" i="2"/>
  <c r="N58" i="2"/>
  <c r="M58" i="2"/>
  <c r="Q57" i="2"/>
  <c r="P57" i="2"/>
  <c r="O57" i="2"/>
  <c r="N57" i="2"/>
  <c r="M57" i="2"/>
  <c r="Q56" i="2"/>
  <c r="P56" i="2"/>
  <c r="O56" i="2"/>
  <c r="N56" i="2"/>
  <c r="M56" i="2"/>
  <c r="N50" i="2"/>
  <c r="O50" i="2" s="1"/>
  <c r="P50" i="2" s="1"/>
  <c r="Q50" i="2" s="1"/>
  <c r="M50" i="2"/>
  <c r="M48" i="2"/>
  <c r="M49" i="2" s="1"/>
  <c r="M51" i="2" s="1"/>
  <c r="N47" i="2"/>
  <c r="O47" i="2" s="1"/>
  <c r="P47" i="2" s="1"/>
  <c r="Q47" i="2" s="1"/>
  <c r="M47" i="2"/>
  <c r="Q45" i="2"/>
  <c r="P45" i="2"/>
  <c r="O45" i="2"/>
  <c r="N45" i="2"/>
  <c r="M45" i="2"/>
  <c r="N44" i="2"/>
  <c r="O44" i="2" s="1"/>
  <c r="P44" i="2" s="1"/>
  <c r="Q44" i="2" s="1"/>
  <c r="M44" i="2"/>
  <c r="Q43" i="2"/>
  <c r="P43" i="2"/>
  <c r="O43" i="2"/>
  <c r="N43" i="2"/>
  <c r="M43" i="2"/>
  <c r="N41" i="2"/>
  <c r="O41" i="2" s="1"/>
  <c r="P41" i="2" s="1"/>
  <c r="M41" i="2"/>
  <c r="Q40" i="2"/>
  <c r="P40" i="2"/>
  <c r="O40" i="2"/>
  <c r="N40" i="2"/>
  <c r="M40" i="2"/>
  <c r="L40" i="2"/>
  <c r="Q36" i="2"/>
  <c r="P36" i="2"/>
  <c r="O36" i="2"/>
  <c r="N36" i="2"/>
  <c r="M36" i="2"/>
  <c r="N35" i="2"/>
  <c r="O35" i="2" s="1"/>
  <c r="P35" i="2" s="1"/>
  <c r="Q35" i="2" s="1"/>
  <c r="M35" i="2"/>
  <c r="N34" i="2"/>
  <c r="O34" i="2" s="1"/>
  <c r="P34" i="2" s="1"/>
  <c r="Q34" i="2" s="1"/>
  <c r="M34" i="2"/>
  <c r="N33" i="2"/>
  <c r="O33" i="2" s="1"/>
  <c r="P33" i="2" s="1"/>
  <c r="Q33" i="2" s="1"/>
  <c r="M33" i="2"/>
  <c r="Q32" i="2"/>
  <c r="P32" i="2"/>
  <c r="O32" i="2"/>
  <c r="N32" i="2"/>
  <c r="M32" i="2"/>
  <c r="N29" i="2"/>
  <c r="O29" i="2" s="1"/>
  <c r="P29" i="2" s="1"/>
  <c r="Q29" i="2" s="1"/>
  <c r="M29" i="2"/>
  <c r="Q28" i="2"/>
  <c r="P28" i="2"/>
  <c r="O28" i="2"/>
  <c r="N28" i="2"/>
  <c r="M28" i="2"/>
  <c r="Q27" i="2"/>
  <c r="P27" i="2"/>
  <c r="O27" i="2"/>
  <c r="N27" i="2"/>
  <c r="M27" i="2"/>
  <c r="N26" i="2"/>
  <c r="O26" i="2" s="1"/>
  <c r="P26" i="2" s="1"/>
  <c r="Q26" i="2" s="1"/>
  <c r="M26" i="2"/>
  <c r="Q19" i="2"/>
  <c r="P19" i="2"/>
  <c r="O19" i="2"/>
  <c r="N19" i="2"/>
  <c r="M19" i="2"/>
  <c r="Q18" i="2"/>
  <c r="P18" i="2"/>
  <c r="O18" i="2"/>
  <c r="N18" i="2"/>
  <c r="M18" i="2"/>
  <c r="Q17" i="2"/>
  <c r="P17" i="2"/>
  <c r="O17" i="2"/>
  <c r="N17" i="2"/>
  <c r="M17" i="2"/>
  <c r="L17" i="2"/>
  <c r="Q16" i="2"/>
  <c r="P16" i="2"/>
  <c r="O16" i="2"/>
  <c r="N16" i="2"/>
  <c r="M16" i="2"/>
  <c r="Q15" i="2"/>
  <c r="P15" i="2"/>
  <c r="O15" i="2"/>
  <c r="N15" i="2"/>
  <c r="M15" i="2"/>
  <c r="N99" i="2"/>
  <c r="N101" i="2" s="1"/>
  <c r="M99" i="2"/>
  <c r="M101" i="2"/>
  <c r="M102" i="2"/>
  <c r="Q12" i="2"/>
  <c r="P12" i="2"/>
  <c r="P14" i="2" s="1"/>
  <c r="O12" i="2"/>
  <c r="O14" i="2" s="1"/>
  <c r="N12" i="2"/>
  <c r="N14" i="2" s="1"/>
  <c r="M12" i="2"/>
  <c r="K12" i="2"/>
  <c r="L12" i="2"/>
  <c r="L14" i="2" s="1"/>
  <c r="Q14" i="2"/>
  <c r="M14" i="2"/>
  <c r="Q13" i="2"/>
  <c r="P13" i="2"/>
  <c r="O13" i="2"/>
  <c r="N13" i="2"/>
  <c r="M13" i="2"/>
  <c r="N96" i="2"/>
  <c r="O93" i="2" s="1"/>
  <c r="M96" i="2"/>
  <c r="N93" i="2" s="1"/>
  <c r="N95" i="2" s="1"/>
  <c r="L96" i="2"/>
  <c r="M95" i="2"/>
  <c r="Q94" i="2"/>
  <c r="P94" i="2"/>
  <c r="O94" i="2"/>
  <c r="N94" i="2"/>
  <c r="M94" i="2"/>
  <c r="M93" i="2"/>
  <c r="Q11" i="2"/>
  <c r="P11" i="2"/>
  <c r="O11" i="2"/>
  <c r="N11" i="2"/>
  <c r="M11" i="2"/>
  <c r="Q10" i="2"/>
  <c r="P10" i="2"/>
  <c r="O10" i="2"/>
  <c r="N10" i="2"/>
  <c r="M10" i="2"/>
  <c r="Q8" i="2"/>
  <c r="P8" i="2"/>
  <c r="O8" i="2"/>
  <c r="N8" i="2"/>
  <c r="M8" i="2"/>
  <c r="Q7" i="2"/>
  <c r="P7" i="2"/>
  <c r="O7" i="2"/>
  <c r="N7" i="2"/>
  <c r="M7" i="2"/>
  <c r="L7" i="2"/>
  <c r="N165" i="1"/>
  <c r="N164" i="1"/>
  <c r="N163" i="1"/>
  <c r="N162" i="1"/>
  <c r="M164" i="1"/>
  <c r="M163" i="1"/>
  <c r="M162" i="1"/>
  <c r="H15" i="7" l="1"/>
  <c r="F8" i="7"/>
  <c r="F12" i="7"/>
  <c r="J12" i="7" s="1"/>
  <c r="G11" i="7"/>
  <c r="G15" i="7" s="1"/>
  <c r="F24" i="4"/>
  <c r="N48" i="2"/>
  <c r="O99" i="2"/>
  <c r="O101" i="2" s="1"/>
  <c r="N102" i="2"/>
  <c r="O95" i="2"/>
  <c r="O96" i="2" s="1"/>
  <c r="P93" i="2" s="1"/>
  <c r="N170" i="1"/>
  <c r="M170" i="1"/>
  <c r="L170" i="1"/>
  <c r="K170" i="1"/>
  <c r="G16" i="7" l="1"/>
  <c r="F15" i="7"/>
  <c r="F16" i="7"/>
  <c r="J8" i="7"/>
  <c r="O48" i="2"/>
  <c r="N49" i="2"/>
  <c r="N51" i="2" s="1"/>
  <c r="P99" i="2"/>
  <c r="P101" i="2" s="1"/>
  <c r="O102" i="2"/>
  <c r="P95" i="2"/>
  <c r="P96" i="2"/>
  <c r="Q93" i="2" s="1"/>
  <c r="G106" i="2"/>
  <c r="A1" i="3"/>
  <c r="J16" i="7" l="1"/>
  <c r="J15" i="7"/>
  <c r="P48" i="2"/>
  <c r="O49" i="2"/>
  <c r="O51" i="2" s="1"/>
  <c r="P102" i="2"/>
  <c r="Q99" i="2"/>
  <c r="Q101" i="2" s="1"/>
  <c r="Q102" i="2" s="1"/>
  <c r="Q95" i="2"/>
  <c r="Q96" i="2"/>
  <c r="L89" i="2"/>
  <c r="K89" i="2"/>
  <c r="J89" i="2"/>
  <c r="I89" i="2"/>
  <c r="H89" i="2"/>
  <c r="L88" i="2"/>
  <c r="K88" i="2"/>
  <c r="J88" i="2"/>
  <c r="I88" i="2"/>
  <c r="H88" i="2"/>
  <c r="L87" i="2"/>
  <c r="K87" i="2"/>
  <c r="J87" i="2"/>
  <c r="I87" i="2"/>
  <c r="H87" i="2"/>
  <c r="L86" i="2"/>
  <c r="K86" i="2"/>
  <c r="J86" i="2"/>
  <c r="I86" i="2"/>
  <c r="H86" i="2"/>
  <c r="L80" i="2"/>
  <c r="K80" i="2"/>
  <c r="J80" i="2"/>
  <c r="I80" i="2"/>
  <c r="H80" i="2"/>
  <c r="L76" i="2"/>
  <c r="K76" i="2"/>
  <c r="J76" i="2"/>
  <c r="I76" i="2"/>
  <c r="H76" i="2"/>
  <c r="L75" i="2"/>
  <c r="K75" i="2"/>
  <c r="J75" i="2"/>
  <c r="I75" i="2"/>
  <c r="H75" i="2"/>
  <c r="L74" i="2"/>
  <c r="K74" i="2"/>
  <c r="J74" i="2"/>
  <c r="I74" i="2"/>
  <c r="H74" i="2"/>
  <c r="L66" i="2"/>
  <c r="K66" i="2"/>
  <c r="J66" i="2"/>
  <c r="I66" i="2"/>
  <c r="H66" i="2"/>
  <c r="L73" i="2"/>
  <c r="K73" i="2"/>
  <c r="J73" i="2"/>
  <c r="I73" i="2"/>
  <c r="H73" i="2"/>
  <c r="L69" i="2"/>
  <c r="K69" i="2"/>
  <c r="J69" i="2"/>
  <c r="I69" i="2"/>
  <c r="L68" i="2"/>
  <c r="K68" i="2"/>
  <c r="J68" i="2"/>
  <c r="I68" i="2"/>
  <c r="L67" i="2"/>
  <c r="K67" i="2"/>
  <c r="J67" i="2"/>
  <c r="I67" i="2"/>
  <c r="H69" i="2"/>
  <c r="H68" i="2"/>
  <c r="H67" i="2"/>
  <c r="L65" i="2"/>
  <c r="K65" i="2"/>
  <c r="J65" i="2"/>
  <c r="I65" i="2"/>
  <c r="H65" i="2"/>
  <c r="L64" i="2"/>
  <c r="K64" i="2"/>
  <c r="J64" i="2"/>
  <c r="I64" i="2"/>
  <c r="H64" i="2"/>
  <c r="L63" i="2"/>
  <c r="K63" i="2"/>
  <c r="J63" i="2"/>
  <c r="I63" i="2"/>
  <c r="H63" i="2"/>
  <c r="J58" i="2"/>
  <c r="H58" i="2"/>
  <c r="L57" i="2"/>
  <c r="L95" i="2" s="1"/>
  <c r="K57" i="2"/>
  <c r="K95" i="2" s="1"/>
  <c r="J57" i="2"/>
  <c r="J95" i="2" s="1"/>
  <c r="I57" i="2"/>
  <c r="I95" i="2" s="1"/>
  <c r="H57" i="2"/>
  <c r="H95" i="2" s="1"/>
  <c r="L56" i="2"/>
  <c r="K56" i="2"/>
  <c r="J56" i="2"/>
  <c r="I56" i="2"/>
  <c r="H56" i="2"/>
  <c r="L158" i="1"/>
  <c r="L154" i="1"/>
  <c r="L145" i="1"/>
  <c r="L129" i="1"/>
  <c r="L126" i="1"/>
  <c r="L118" i="1"/>
  <c r="L58" i="2" s="1"/>
  <c r="K158" i="1"/>
  <c r="K154" i="1"/>
  <c r="K145" i="1"/>
  <c r="K129" i="1"/>
  <c r="K126" i="1"/>
  <c r="K118" i="1"/>
  <c r="K58" i="2" s="1"/>
  <c r="J118" i="1"/>
  <c r="I118" i="1"/>
  <c r="I58" i="2" s="1"/>
  <c r="H118" i="1"/>
  <c r="J158" i="1"/>
  <c r="J154" i="1"/>
  <c r="J145" i="1"/>
  <c r="J129" i="1"/>
  <c r="J126" i="1"/>
  <c r="I158" i="1"/>
  <c r="I154" i="1"/>
  <c r="H158" i="1"/>
  <c r="H154" i="1"/>
  <c r="H145" i="1"/>
  <c r="I145" i="1"/>
  <c r="I129" i="1"/>
  <c r="I126" i="1"/>
  <c r="H129" i="1"/>
  <c r="H126" i="1"/>
  <c r="I98" i="1"/>
  <c r="J98" i="1" s="1"/>
  <c r="K98" i="1" s="1"/>
  <c r="L98" i="1" s="1"/>
  <c r="J44" i="2"/>
  <c r="K44" i="2"/>
  <c r="L50" i="2"/>
  <c r="K50" i="2"/>
  <c r="J50" i="2"/>
  <c r="I50" i="2"/>
  <c r="H50" i="2"/>
  <c r="L48" i="2"/>
  <c r="K48" i="2"/>
  <c r="J48" i="2"/>
  <c r="I48" i="2"/>
  <c r="H48" i="2"/>
  <c r="L47" i="2"/>
  <c r="K47" i="2"/>
  <c r="J47" i="2"/>
  <c r="I47" i="2"/>
  <c r="H47" i="2"/>
  <c r="L44" i="2"/>
  <c r="I44" i="2"/>
  <c r="H44" i="2"/>
  <c r="L43" i="2"/>
  <c r="L101" i="2" s="1"/>
  <c r="K43" i="2"/>
  <c r="K101" i="2" s="1"/>
  <c r="J43" i="2"/>
  <c r="J101" i="2" s="1"/>
  <c r="K99" i="2" s="1"/>
  <c r="I43" i="2"/>
  <c r="I101" i="2" s="1"/>
  <c r="J99" i="2" s="1"/>
  <c r="H43" i="2"/>
  <c r="H101" i="2" s="1"/>
  <c r="I99" i="2" s="1"/>
  <c r="L41" i="2"/>
  <c r="K41" i="2"/>
  <c r="J41" i="2"/>
  <c r="I41" i="2"/>
  <c r="H41" i="2"/>
  <c r="K40" i="2"/>
  <c r="J40" i="2"/>
  <c r="I40" i="2"/>
  <c r="H40" i="2"/>
  <c r="L35" i="2"/>
  <c r="K35" i="2"/>
  <c r="J35" i="2"/>
  <c r="I35" i="2"/>
  <c r="H35" i="2"/>
  <c r="L34" i="2"/>
  <c r="K34" i="2"/>
  <c r="J34" i="2"/>
  <c r="I34" i="2"/>
  <c r="H34" i="2"/>
  <c r="L33" i="2"/>
  <c r="K33" i="2"/>
  <c r="J33" i="2"/>
  <c r="I33" i="2"/>
  <c r="H33" i="2"/>
  <c r="L32" i="2"/>
  <c r="K32" i="2"/>
  <c r="K96" i="2" s="1"/>
  <c r="L93" i="2" s="1"/>
  <c r="J32" i="2"/>
  <c r="J96" i="2" s="1"/>
  <c r="K93" i="2" s="1"/>
  <c r="I32" i="2"/>
  <c r="I96" i="2" s="1"/>
  <c r="J93" i="2" s="1"/>
  <c r="H32" i="2"/>
  <c r="H96" i="2" s="1"/>
  <c r="I93" i="2" s="1"/>
  <c r="L29" i="2"/>
  <c r="K29" i="2"/>
  <c r="J29" i="2"/>
  <c r="I29" i="2"/>
  <c r="H29" i="2"/>
  <c r="L28" i="2"/>
  <c r="K28" i="2"/>
  <c r="J28" i="2"/>
  <c r="I28" i="2"/>
  <c r="H28" i="2"/>
  <c r="L27" i="2"/>
  <c r="K27" i="2"/>
  <c r="J27" i="2"/>
  <c r="I27" i="2"/>
  <c r="H27" i="2"/>
  <c r="L26" i="2"/>
  <c r="K26" i="2"/>
  <c r="J26" i="2"/>
  <c r="I26" i="2"/>
  <c r="H26" i="2"/>
  <c r="L25" i="2"/>
  <c r="K25" i="2"/>
  <c r="J25" i="2"/>
  <c r="I25" i="2"/>
  <c r="H25" i="2"/>
  <c r="Q48" i="2" l="1"/>
  <c r="Q49" i="2" s="1"/>
  <c r="Q51" i="2" s="1"/>
  <c r="P49" i="2"/>
  <c r="P51" i="2" s="1"/>
  <c r="I90" i="2"/>
  <c r="I59" i="2" s="1"/>
  <c r="J70" i="2"/>
  <c r="L70" i="2"/>
  <c r="I77" i="2"/>
  <c r="I60" i="2"/>
  <c r="J90" i="2"/>
  <c r="J59" i="2" s="1"/>
  <c r="J60" i="2" s="1"/>
  <c r="J77" i="2"/>
  <c r="I70" i="2"/>
  <c r="H77" i="2"/>
  <c r="L77" i="2"/>
  <c r="K90" i="2"/>
  <c r="K59" i="2" s="1"/>
  <c r="K60" i="2" s="1"/>
  <c r="K94" i="2"/>
  <c r="K77" i="2"/>
  <c r="H90" i="2"/>
  <c r="H59" i="2" s="1"/>
  <c r="H60" i="2" s="1"/>
  <c r="L90" i="2"/>
  <c r="L59" i="2" s="1"/>
  <c r="L60" i="2" s="1"/>
  <c r="K100" i="2"/>
  <c r="K70" i="2"/>
  <c r="H70" i="2"/>
  <c r="L94" i="2"/>
  <c r="L99" i="2"/>
  <c r="I100" i="2"/>
  <c r="I94" i="2"/>
  <c r="J100" i="2"/>
  <c r="J94" i="2"/>
  <c r="H49" i="2"/>
  <c r="J49" i="2"/>
  <c r="K49" i="2"/>
  <c r="I49" i="2"/>
  <c r="H36" i="2"/>
  <c r="L36" i="2"/>
  <c r="L49" i="2"/>
  <c r="H45" i="2"/>
  <c r="L45" i="2"/>
  <c r="I45" i="2"/>
  <c r="J36" i="2"/>
  <c r="K45" i="2"/>
  <c r="I36" i="2"/>
  <c r="K36" i="2"/>
  <c r="J45" i="2"/>
  <c r="L16" i="2"/>
  <c r="K16" i="2"/>
  <c r="J16" i="2"/>
  <c r="I16" i="2"/>
  <c r="H16" i="2"/>
  <c r="L15" i="2"/>
  <c r="L102" i="2" s="1"/>
  <c r="K15" i="2"/>
  <c r="K102" i="2" s="1"/>
  <c r="J15" i="2"/>
  <c r="J102" i="2" s="1"/>
  <c r="I15" i="2"/>
  <c r="I102" i="2" s="1"/>
  <c r="H15" i="2"/>
  <c r="H102" i="2" s="1"/>
  <c r="L13" i="2"/>
  <c r="L111" i="2" s="1"/>
  <c r="K13" i="2"/>
  <c r="K111" i="2" s="1"/>
  <c r="J13" i="2"/>
  <c r="J111" i="2" s="1"/>
  <c r="I13" i="2"/>
  <c r="I111" i="2" s="1"/>
  <c r="H13" i="2"/>
  <c r="C13" i="2"/>
  <c r="L11" i="2"/>
  <c r="K11" i="2"/>
  <c r="J11" i="2"/>
  <c r="I11" i="2"/>
  <c r="H11" i="2"/>
  <c r="L10" i="2"/>
  <c r="K10" i="2"/>
  <c r="J10" i="2"/>
  <c r="I10" i="2"/>
  <c r="H10" i="2"/>
  <c r="K7" i="2"/>
  <c r="J7" i="2"/>
  <c r="J117" i="2" s="1"/>
  <c r="I7" i="2"/>
  <c r="I117" i="2" s="1"/>
  <c r="H7" i="2"/>
  <c r="H6" i="2"/>
  <c r="H119" i="2" s="1"/>
  <c r="L6" i="2"/>
  <c r="L116" i="2" s="1"/>
  <c r="K6" i="2"/>
  <c r="J6" i="2"/>
  <c r="I6" i="2"/>
  <c r="H2" i="2"/>
  <c r="A1" i="2"/>
  <c r="H79" i="2" l="1"/>
  <c r="H81" i="2" s="1"/>
  <c r="K109" i="2"/>
  <c r="L112" i="2"/>
  <c r="K79" i="2"/>
  <c r="K81" i="2" s="1"/>
  <c r="J79" i="2"/>
  <c r="J81" i="2" s="1"/>
  <c r="I79" i="2"/>
  <c r="I81" i="2" s="1"/>
  <c r="L79" i="2"/>
  <c r="L81" i="2" s="1"/>
  <c r="K108" i="2"/>
  <c r="J109" i="2"/>
  <c r="J118" i="2"/>
  <c r="L108" i="2"/>
  <c r="L109" i="2"/>
  <c r="N111" i="2"/>
  <c r="M111" i="2"/>
  <c r="I107" i="2"/>
  <c r="I119" i="2"/>
  <c r="H108" i="2"/>
  <c r="J110" i="2"/>
  <c r="J113" i="2"/>
  <c r="I110" i="2"/>
  <c r="J119" i="2"/>
  <c r="J107" i="2"/>
  <c r="L117" i="2"/>
  <c r="H118" i="2"/>
  <c r="K112" i="2"/>
  <c r="K107" i="2"/>
  <c r="K119" i="2"/>
  <c r="I108" i="2"/>
  <c r="H109" i="2"/>
  <c r="K110" i="2"/>
  <c r="K113" i="2"/>
  <c r="H117" i="2"/>
  <c r="H116" i="2"/>
  <c r="K116" i="2"/>
  <c r="L119" i="2"/>
  <c r="M119" i="2" s="1"/>
  <c r="N119" i="2" s="1"/>
  <c r="O119" i="2" s="1"/>
  <c r="P119" i="2" s="1"/>
  <c r="Q119" i="2" s="1"/>
  <c r="L107" i="2"/>
  <c r="J108" i="2"/>
  <c r="I109" i="2"/>
  <c r="H110" i="2"/>
  <c r="L110" i="2"/>
  <c r="H113" i="2"/>
  <c r="L113" i="2"/>
  <c r="I116" i="2"/>
  <c r="K118" i="2"/>
  <c r="I118" i="2"/>
  <c r="I112" i="2"/>
  <c r="J112" i="2"/>
  <c r="I113" i="2"/>
  <c r="L100" i="2"/>
  <c r="L118" i="2"/>
  <c r="J116" i="2"/>
  <c r="K117" i="2"/>
  <c r="H51" i="2"/>
  <c r="I51" i="2"/>
  <c r="K51" i="2"/>
  <c r="J51" i="2"/>
  <c r="H8" i="2"/>
  <c r="H12" i="2" s="1"/>
  <c r="H14" i="2" s="1"/>
  <c r="H17" i="2" s="1"/>
  <c r="L51" i="2"/>
  <c r="K8" i="2"/>
  <c r="K14" i="2" s="1"/>
  <c r="K17" i="2" s="1"/>
  <c r="L8" i="2"/>
  <c r="I8" i="2"/>
  <c r="I12" i="2" s="1"/>
  <c r="I14" i="2" s="1"/>
  <c r="I17" i="2" s="1"/>
  <c r="J8" i="2"/>
  <c r="J12" i="2" s="1"/>
  <c r="J14" i="2" s="1"/>
  <c r="J17" i="2" s="1"/>
  <c r="I161" i="1"/>
  <c r="J161" i="1" s="1"/>
  <c r="K161" i="1" s="1"/>
  <c r="L161" i="1" s="1"/>
  <c r="H92" i="1"/>
  <c r="H79" i="1"/>
  <c r="H69" i="1"/>
  <c r="I92" i="1"/>
  <c r="I79" i="1"/>
  <c r="I69" i="1"/>
  <c r="J92" i="1"/>
  <c r="J79" i="1"/>
  <c r="J69" i="1"/>
  <c r="K92" i="1"/>
  <c r="L92" i="1"/>
  <c r="K79" i="1"/>
  <c r="K69" i="1"/>
  <c r="L69" i="1"/>
  <c r="L79" i="1"/>
  <c r="H58" i="1"/>
  <c r="H46" i="1"/>
  <c r="I58" i="1"/>
  <c r="I46" i="1"/>
  <c r="K46" i="1"/>
  <c r="J58" i="1"/>
  <c r="J46" i="1"/>
  <c r="P111" i="2" l="1"/>
  <c r="M110" i="2"/>
  <c r="N117" i="2"/>
  <c r="M117" i="2"/>
  <c r="O117" i="2" s="1"/>
  <c r="Q117" i="2" s="1"/>
  <c r="N108" i="2"/>
  <c r="N116" i="2"/>
  <c r="N109" i="2"/>
  <c r="M112" i="2"/>
  <c r="O112" i="2" s="1"/>
  <c r="N112" i="2"/>
  <c r="N110" i="2"/>
  <c r="E5" i="3"/>
  <c r="G5" i="3" s="1"/>
  <c r="H5" i="3" s="1"/>
  <c r="I5" i="3" s="1"/>
  <c r="J5" i="3" s="1"/>
  <c r="K5" i="3" s="1"/>
  <c r="E7" i="3"/>
  <c r="G7" i="3" s="1"/>
  <c r="H7" i="3" s="1"/>
  <c r="I7" i="3" s="1"/>
  <c r="J7" i="3" s="1"/>
  <c r="K7" i="3" s="1"/>
  <c r="E6" i="3"/>
  <c r="G6" i="3" s="1"/>
  <c r="M118" i="2"/>
  <c r="O118" i="2" s="1"/>
  <c r="N118" i="2"/>
  <c r="M113" i="2"/>
  <c r="O113" i="2" s="1"/>
  <c r="N113" i="2"/>
  <c r="M116" i="2"/>
  <c r="M109" i="2"/>
  <c r="M108" i="2"/>
  <c r="O111" i="2"/>
  <c r="Q111" i="2" s="1"/>
  <c r="J94" i="1"/>
  <c r="J95" i="1" s="1"/>
  <c r="K94" i="1"/>
  <c r="K95" i="1" s="1"/>
  <c r="H94" i="1"/>
  <c r="H95" i="1" s="1"/>
  <c r="I94" i="1"/>
  <c r="I95" i="1" s="1"/>
  <c r="I60" i="1"/>
  <c r="J60" i="1"/>
  <c r="H60" i="1"/>
  <c r="L94" i="1"/>
  <c r="L95" i="1" s="1"/>
  <c r="K60" i="1"/>
  <c r="L58" i="1"/>
  <c r="L46" i="1"/>
  <c r="I30" i="1"/>
  <c r="J30" i="1" s="1"/>
  <c r="K30" i="1" s="1"/>
  <c r="L30" i="1" s="1"/>
  <c r="L22" i="1"/>
  <c r="K22" i="1"/>
  <c r="J22" i="1"/>
  <c r="I22" i="1"/>
  <c r="H22" i="1"/>
  <c r="L26" i="1"/>
  <c r="L18" i="2" s="1"/>
  <c r="L19" i="2" s="1"/>
  <c r="L115" i="2" s="1"/>
  <c r="K26" i="1"/>
  <c r="K18" i="2" s="1"/>
  <c r="K19" i="2" s="1"/>
  <c r="K115" i="2" s="1"/>
  <c r="J26" i="1"/>
  <c r="J18" i="2" s="1"/>
  <c r="J19" i="2" s="1"/>
  <c r="J115" i="2" s="1"/>
  <c r="I26" i="1"/>
  <c r="I18" i="2" s="1"/>
  <c r="I19" i="2" s="1"/>
  <c r="I115" i="2" s="1"/>
  <c r="H26" i="1"/>
  <c r="H18" i="2" s="1"/>
  <c r="H19" i="2" s="1"/>
  <c r="H115" i="2" s="1"/>
  <c r="L18" i="1"/>
  <c r="K18" i="1"/>
  <c r="K8" i="1"/>
  <c r="J8" i="1"/>
  <c r="I8" i="1"/>
  <c r="H8" i="1"/>
  <c r="J18" i="1"/>
  <c r="I18" i="1"/>
  <c r="H18" i="1"/>
  <c r="I4" i="1"/>
  <c r="P108" i="2" l="1"/>
  <c r="Q118" i="2"/>
  <c r="P109" i="2"/>
  <c r="P110" i="2"/>
  <c r="P116" i="2"/>
  <c r="P117" i="2"/>
  <c r="P113" i="2"/>
  <c r="O110" i="2"/>
  <c r="Q110" i="2" s="1"/>
  <c r="K114" i="2"/>
  <c r="N115" i="2"/>
  <c r="H114" i="2"/>
  <c r="L114" i="2"/>
  <c r="P112" i="2"/>
  <c r="Q112" i="2"/>
  <c r="Q113" i="2"/>
  <c r="O108" i="2"/>
  <c r="Q108" i="2" s="1"/>
  <c r="M115" i="2"/>
  <c r="O109" i="2"/>
  <c r="Q109" i="2" s="1"/>
  <c r="O116" i="2"/>
  <c r="Q116" i="2" s="1"/>
  <c r="P118" i="2"/>
  <c r="H6" i="3"/>
  <c r="I6" i="3" s="1"/>
  <c r="J6" i="3" s="1"/>
  <c r="K6" i="3" s="1"/>
  <c r="M107" i="2" a="1"/>
  <c r="I114" i="2"/>
  <c r="J114" i="2"/>
  <c r="O115" i="2"/>
  <c r="J4" i="1"/>
  <c r="I2" i="2"/>
  <c r="L60" i="1"/>
  <c r="I27" i="1"/>
  <c r="J27" i="1"/>
  <c r="K27" i="1"/>
  <c r="H27" i="1"/>
  <c r="L27" i="1"/>
  <c r="Q115" i="2" l="1"/>
  <c r="P115" i="2"/>
  <c r="N107" i="2"/>
  <c r="O107" i="2"/>
  <c r="Q107" i="2"/>
  <c r="M107" i="2"/>
  <c r="M6" i="2" s="1"/>
  <c r="P107" i="2"/>
  <c r="N114" i="2"/>
  <c r="M114" i="2"/>
  <c r="K4" i="1"/>
  <c r="J2" i="2"/>
  <c r="P114" i="2" l="1"/>
  <c r="O114" i="2"/>
  <c r="Q114" i="2" s="1"/>
  <c r="N6" i="2"/>
  <c r="O6" i="2" s="1"/>
  <c r="P6" i="2" s="1"/>
  <c r="Q6" i="2" s="1"/>
  <c r="L4" i="1"/>
  <c r="L2" i="2" s="1"/>
  <c r="M2" i="2" s="1"/>
  <c r="K2" i="2"/>
  <c r="N2" i="2" l="1"/>
  <c r="G4" i="3"/>
  <c r="O2" i="2" l="1"/>
  <c r="H4" i="3"/>
  <c r="P2" i="2" l="1"/>
  <c r="I4" i="3"/>
  <c r="Q2" i="2" l="1"/>
  <c r="K4" i="3" s="1"/>
  <c r="J4" i="3"/>
</calcChain>
</file>

<file path=xl/sharedStrings.xml><?xml version="1.0" encoding="utf-8"?>
<sst xmlns="http://schemas.openxmlformats.org/spreadsheetml/2006/main" count="550" uniqueCount="414">
  <si>
    <t>Alkem Laboratories Ltd</t>
  </si>
  <si>
    <t>Historical Financial Information</t>
  </si>
  <si>
    <t>Income Statement</t>
  </si>
  <si>
    <t>Income</t>
  </si>
  <si>
    <t>(a) Revenue from operations</t>
  </si>
  <si>
    <t>(b) Other income</t>
  </si>
  <si>
    <t>Total income</t>
  </si>
  <si>
    <t>Expenses</t>
  </si>
  <si>
    <t>Total expenses</t>
  </si>
  <si>
    <t>Profit before exceptional items and tax (1) - (2)</t>
  </si>
  <si>
    <t>Exceptional items</t>
  </si>
  <si>
    <t>Profit before tax (3) + (4)</t>
  </si>
  <si>
    <t>Tax expense</t>
  </si>
  <si>
    <t>(a) Current tax</t>
  </si>
  <si>
    <t>(b) Deferred tax charge/(credit) (net)</t>
  </si>
  <si>
    <t>Total tax expenses (a + b)</t>
  </si>
  <si>
    <t>Profit for the year (5) - (6)</t>
  </si>
  <si>
    <t>Balance Sheet</t>
  </si>
  <si>
    <t>ASSETS</t>
  </si>
  <si>
    <t>Non-current assets</t>
  </si>
  <si>
    <t>(a) Property, plant and equipment</t>
  </si>
  <si>
    <t>(b) Right of use assets</t>
  </si>
  <si>
    <t>(c) Capital work in progress</t>
  </si>
  <si>
    <t>(d) Goodwill</t>
  </si>
  <si>
    <t>(e) Other intangible assets</t>
  </si>
  <si>
    <t>(f) Intangible assets under development</t>
  </si>
  <si>
    <t>(g) Financial assets</t>
  </si>
  <si>
    <t>(i) Investment in associate</t>
  </si>
  <si>
    <t>(ii) Other investments</t>
  </si>
  <si>
    <t>(iii) Other financial assets</t>
  </si>
  <si>
    <t>(h) Deferred tax assets (net)</t>
  </si>
  <si>
    <t>(i) Current tax assets (net)</t>
  </si>
  <si>
    <t>(j) Other non-current assets</t>
  </si>
  <si>
    <t>Total non-current assets</t>
  </si>
  <si>
    <t>Particulars</t>
  </si>
  <si>
    <t>Current assets</t>
  </si>
  <si>
    <t>(a) Inventories</t>
  </si>
  <si>
    <t>(b) Financial assets</t>
  </si>
  <si>
    <t>(i) Investments</t>
  </si>
  <si>
    <t>(ii) Trade receivables</t>
  </si>
  <si>
    <t>(iii) Cash and cash equivalents</t>
  </si>
  <si>
    <t>(iv) Bank balances other than (iii) above</t>
  </si>
  <si>
    <t>(v) Loans</t>
  </si>
  <si>
    <t>(vi) Other financial assets</t>
  </si>
  <si>
    <t>(c) Other current assets</t>
  </si>
  <si>
    <t>Total current assets</t>
  </si>
  <si>
    <t>Assets held for sale</t>
  </si>
  <si>
    <t>TOTAL ASSETS</t>
  </si>
  <si>
    <t>EQUITY AND LIABILITIES</t>
  </si>
  <si>
    <t>Equity</t>
  </si>
  <si>
    <t>(a) Equity share capital</t>
  </si>
  <si>
    <t>(b) Other equity</t>
  </si>
  <si>
    <t>Equity attributable to owners of the Company</t>
  </si>
  <si>
    <t>(c) Non-controlling interests</t>
  </si>
  <si>
    <t>Total Equity</t>
  </si>
  <si>
    <t>Liabilities</t>
  </si>
  <si>
    <t>Non-current liabilities</t>
  </si>
  <si>
    <t>(a) Financial liabilities</t>
  </si>
  <si>
    <t>(i) Borrowings</t>
  </si>
  <si>
    <t>(ii) Lease liabilities</t>
  </si>
  <si>
    <t>(iii) Other financial liabilities</t>
  </si>
  <si>
    <t>(b) Provisions</t>
  </si>
  <si>
    <t>(c) Other non-current liabilities</t>
  </si>
  <si>
    <t>Total non-current liabilities</t>
  </si>
  <si>
    <t>Current liabilities</t>
  </si>
  <si>
    <t>(iii) Trade payables</t>
  </si>
  <si>
    <t>Total outstanding dues of micro enterprises and small enterprises</t>
  </si>
  <si>
    <t>Total outstanding dues of creditors other than micro and small enterprises</t>
  </si>
  <si>
    <t>(iv) Other financial liabilities</t>
  </si>
  <si>
    <t>(b) Other current liabilities</t>
  </si>
  <si>
    <t>(c) Provisions</t>
  </si>
  <si>
    <t>(d) Current tax liabilities (net)</t>
  </si>
  <si>
    <t>Total current liabilities</t>
  </si>
  <si>
    <t>Liabilities classified as held for sale</t>
  </si>
  <si>
    <t>Total Liabilities</t>
  </si>
  <si>
    <t>TOTAL EQUITY AND LIABILITIES</t>
  </si>
  <si>
    <t>Segmented Revenue</t>
  </si>
  <si>
    <t>India</t>
  </si>
  <si>
    <t>United States of America</t>
  </si>
  <si>
    <t>Other Countries</t>
  </si>
  <si>
    <t>Quarterly Financials</t>
  </si>
  <si>
    <t>Sales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</si>
  <si>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</si>
  <si>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</si>
  <si>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</si>
  <si>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</si>
  <si>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</si>
  <si>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</si>
  <si>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</si>
  <si>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Financial Statements &amp; DCF Analysis</t>
  </si>
  <si>
    <t>Historical Period</t>
  </si>
  <si>
    <t>Estimate Period</t>
  </si>
  <si>
    <t>INCOME STATEMENT</t>
  </si>
  <si>
    <t>INCOME</t>
  </si>
  <si>
    <t>Revenue</t>
  </si>
  <si>
    <t>Cost of Good Sold (COGS)</t>
  </si>
  <si>
    <t>Gross Profit</t>
  </si>
  <si>
    <t>EXPENSES</t>
  </si>
  <si>
    <t>Salaries and benefits</t>
  </si>
  <si>
    <t>Other SG&amp;A Expenses</t>
  </si>
  <si>
    <t>EBITDA</t>
  </si>
  <si>
    <t>Cost of materials consumed</t>
  </si>
  <si>
    <t>Changes in inventories of finished goods, work-in-progress and stock-in-trade</t>
  </si>
  <si>
    <t>Employee benefits expense</t>
  </si>
  <si>
    <t>Finance costs</t>
  </si>
  <si>
    <t>Depreciation and amortisation expense</t>
  </si>
  <si>
    <t>Other expenses</t>
  </si>
  <si>
    <t>Purchases of stock-in-trade</t>
  </si>
  <si>
    <t>EBIT</t>
  </si>
  <si>
    <t>Other Income (Expense)</t>
  </si>
  <si>
    <t>Earnings before Tax</t>
  </si>
  <si>
    <t>Net Earnings</t>
  </si>
  <si>
    <t>₹  MM</t>
  </si>
  <si>
    <t>Asset</t>
  </si>
  <si>
    <t>Current Asset</t>
  </si>
  <si>
    <t xml:space="preserve">Cash </t>
  </si>
  <si>
    <t>Bank Deposit</t>
  </si>
  <si>
    <t>Account Receivable</t>
  </si>
  <si>
    <t>Inventory</t>
  </si>
  <si>
    <t>Other Current Asset</t>
  </si>
  <si>
    <t>Non-Current Asset</t>
  </si>
  <si>
    <t>Property &amp; Equipment</t>
  </si>
  <si>
    <t>Goodwill</t>
  </si>
  <si>
    <t>Financial Asset</t>
  </si>
  <si>
    <t>Other Non-Current Asset</t>
  </si>
  <si>
    <t>Total Assets</t>
  </si>
  <si>
    <t>Accounts Paybale</t>
  </si>
  <si>
    <t>Other Current Liabilities</t>
  </si>
  <si>
    <t>Non-Current Liabilities</t>
  </si>
  <si>
    <t>Debt</t>
  </si>
  <si>
    <t>Other Non-Current Liabilities</t>
  </si>
  <si>
    <t>Shareholder's Equity</t>
  </si>
  <si>
    <t>Equity Capital</t>
  </si>
  <si>
    <t>Retained Earning</t>
  </si>
  <si>
    <t>Toatal Shareholder's Equity</t>
  </si>
  <si>
    <t>Non-Controlling Intrest</t>
  </si>
  <si>
    <t>Cash Flow Statement</t>
  </si>
  <si>
    <t>A. Cash Flow from Operating Activities:</t>
  </si>
  <si>
    <t>Profit before Tax</t>
  </si>
  <si>
    <t>Adjustments for:</t>
  </si>
  <si>
    <t>Liabilities no longer required written back</t>
  </si>
  <si>
    <t>Profit on sale of investments</t>
  </si>
  <si>
    <t>Unrealised (gain) / loss on fair valuation of investments (net)</t>
  </si>
  <si>
    <t>Profit on sale of property plant and equipment (net)</t>
  </si>
  <si>
    <t>Employee stock compensation expenses</t>
  </si>
  <si>
    <t>Recovery of Bad debts</t>
  </si>
  <si>
    <t>Unrealised foreign currency (gain) / loss on revaluation (net)</t>
  </si>
  <si>
    <t>Dividend Income</t>
  </si>
  <si>
    <t>Profit on sale of brand (net)</t>
  </si>
  <si>
    <t>Impairment loss on property, plant and equipment</t>
  </si>
  <si>
    <t>Interest Income</t>
  </si>
  <si>
    <t>Interest expenses</t>
  </si>
  <si>
    <t>Allowances for doubtful debts</t>
  </si>
  <si>
    <t>Rent income</t>
  </si>
  <si>
    <t>Subtotal of Adjustments</t>
  </si>
  <si>
    <t>Operating profit before working capital changes</t>
  </si>
  <si>
    <t>Adjustments for changes in working capital:</t>
  </si>
  <si>
    <t>(Increase) in trade receivables</t>
  </si>
  <si>
    <t>(Increase) / Decrease in loans, other financial assets and other assets</t>
  </si>
  <si>
    <t>(Increase) in inventories</t>
  </si>
  <si>
    <t>Increase / (Decrease) in trade payable, other financial liabilities and other liabilities</t>
  </si>
  <si>
    <t>Increase in provisions</t>
  </si>
  <si>
    <t>Subtotal of adjustments</t>
  </si>
  <si>
    <t>Cash generated from operations</t>
  </si>
  <si>
    <t>Less: Income taxes paid (net of refund)</t>
  </si>
  <si>
    <t>Net Cash generated from operating activities</t>
  </si>
  <si>
    <t>B Cash Flow from Investing Activities:</t>
  </si>
  <si>
    <t>Purchases of property, plant and equipment</t>
  </si>
  <si>
    <t>Sale of property, plant and equipment</t>
  </si>
  <si>
    <t>(Purchase of) / Proceeds from sale of investments (net)</t>
  </si>
  <si>
    <t>Investment made in bank deposits having maturity of more than 3 months (net)</t>
  </si>
  <si>
    <t>Dividend received</t>
  </si>
  <si>
    <t>Interest received</t>
  </si>
  <si>
    <t>Rent received</t>
  </si>
  <si>
    <t>Net cash (used in) investing activities</t>
  </si>
  <si>
    <t>C Cash Flow from Financing Activities:</t>
  </si>
  <si>
    <t>Proceeds from non-current borrowings (net)</t>
  </si>
  <si>
    <t>Repayment of current borrowings (net)</t>
  </si>
  <si>
    <t>Dividend paid</t>
  </si>
  <si>
    <t>Principal repayment of lease liabilities</t>
  </si>
  <si>
    <t>Interest paid</t>
  </si>
  <si>
    <t>Net cash (used in) financing activities</t>
  </si>
  <si>
    <t>D Net decrease in Cash and Cash Equivalents (A+B+C)</t>
  </si>
  <si>
    <t>E Cash &amp; Cash Equivalents as at the beginning of the year</t>
  </si>
  <si>
    <t>Add/Less: Effect of exchange difference on foreign currency cash and cash equivalents</t>
  </si>
  <si>
    <t>F Cash &amp; Cash Equivalents as at the end of the year (D+E) (Refer Note 4 below)</t>
  </si>
  <si>
    <t>Proceeds from issue of compulsory convertible preferance shares</t>
  </si>
  <si>
    <t>Expected credit loss on receivables</t>
  </si>
  <si>
    <t>Proceeds from disposal of property, plant and equipment</t>
  </si>
  <si>
    <t>Redemption of fixed deposits</t>
  </si>
  <si>
    <t>Other investments made</t>
  </si>
  <si>
    <t>Other investments redeemed</t>
  </si>
  <si>
    <t>Investments in associate</t>
  </si>
  <si>
    <t>Operating Cash Flow</t>
  </si>
  <si>
    <t>Add: Dep&amp;Amot</t>
  </si>
  <si>
    <t>Add/Less: Adjustment for Non-Operating Items</t>
  </si>
  <si>
    <t>Add/Less: Adjustment for Working Capital</t>
  </si>
  <si>
    <t>Cash From Operations</t>
  </si>
  <si>
    <t>Investing Cash Flow</t>
  </si>
  <si>
    <t>Investments in property &amp; Equipment</t>
  </si>
  <si>
    <t>Sale of Property , Plant and Equipment</t>
  </si>
  <si>
    <t>Purchases/sale of investment</t>
  </si>
  <si>
    <t>Cash From Investing</t>
  </si>
  <si>
    <t>Financing Cash Flow</t>
  </si>
  <si>
    <t>Issuance(repayment) of debt</t>
  </si>
  <si>
    <t>Issuance(repayment) of Prefrence Share-NCI</t>
  </si>
  <si>
    <t>Dividends Paid</t>
  </si>
  <si>
    <t>Interest Paid</t>
  </si>
  <si>
    <t>Cash Flow From Investing Activities</t>
  </si>
  <si>
    <t>Net Increase(decrease) in Cash</t>
  </si>
  <si>
    <t>Opening Cash Balance</t>
  </si>
  <si>
    <t>Closing Cash Balance</t>
  </si>
  <si>
    <t>Supporting Schedules</t>
  </si>
  <si>
    <t>Working Capital</t>
  </si>
  <si>
    <t>Accounts Receivable</t>
  </si>
  <si>
    <t>Accounts Payable</t>
  </si>
  <si>
    <t>Others</t>
  </si>
  <si>
    <t>Total</t>
  </si>
  <si>
    <t>Depreciation Schedule</t>
  </si>
  <si>
    <t xml:space="preserve">PPE Opening </t>
  </si>
  <si>
    <t>Plus: Capex</t>
  </si>
  <si>
    <t>Less: Depreciation</t>
  </si>
  <si>
    <t>PPE Closing</t>
  </si>
  <si>
    <t>Debt &amp; Interest Schedule</t>
  </si>
  <si>
    <t>Debt Opening</t>
  </si>
  <si>
    <t>Issuance (repayment)</t>
  </si>
  <si>
    <t>Debt Closing</t>
  </si>
  <si>
    <t>Interst Expenses</t>
  </si>
  <si>
    <t>Ratios &amp; Assumptions</t>
  </si>
  <si>
    <t>Revenue Growth</t>
  </si>
  <si>
    <t>Units</t>
  </si>
  <si>
    <t>%</t>
  </si>
  <si>
    <t>-</t>
  </si>
  <si>
    <t>COGS % of Revenue</t>
  </si>
  <si>
    <t>Salaries and benefits ( % of Revenue)</t>
  </si>
  <si>
    <t>Other SG&amp;A Expenses( % of Revenue)</t>
  </si>
  <si>
    <t>Depreciation &amp; Amortization Expenses( % of PP&amp;E)</t>
  </si>
  <si>
    <t>Interest ( % of Debt)</t>
  </si>
  <si>
    <t>Other Income (Expenses) (% of Revenue)</t>
  </si>
  <si>
    <t>Taxes Rate ( % of PBT)</t>
  </si>
  <si>
    <t>Dividends Payout</t>
  </si>
  <si>
    <t>Days</t>
  </si>
  <si>
    <t>Capital Asset Turnover Ratio</t>
  </si>
  <si>
    <t>Times</t>
  </si>
  <si>
    <t>Scenarios</t>
  </si>
  <si>
    <t>Base Case</t>
  </si>
  <si>
    <t>Bull Case</t>
  </si>
  <si>
    <t>Bear Case</t>
  </si>
  <si>
    <t>Growth(%)</t>
  </si>
  <si>
    <t>Annual Growth Tapering</t>
  </si>
  <si>
    <t>LIVE SCENARIO</t>
  </si>
  <si>
    <t>Q-o-Q Growth</t>
  </si>
  <si>
    <t>CAGR</t>
  </si>
  <si>
    <t>2026E</t>
  </si>
  <si>
    <t>Comps Valuation</t>
  </si>
  <si>
    <t>Company Name</t>
  </si>
  <si>
    <t>Price</t>
  </si>
  <si>
    <t>₹/Share</t>
  </si>
  <si>
    <t>Shares</t>
  </si>
  <si>
    <t>M</t>
  </si>
  <si>
    <t>Market Data</t>
  </si>
  <si>
    <t>Market Cap</t>
  </si>
  <si>
    <t>₹MM</t>
  </si>
  <si>
    <t>&amp; Equivalents</t>
  </si>
  <si>
    <t>EV</t>
  </si>
  <si>
    <t>Fiancial Data</t>
  </si>
  <si>
    <t>Earning</t>
  </si>
  <si>
    <t>Valuation</t>
  </si>
  <si>
    <t>EV/Sales</t>
  </si>
  <si>
    <t>EV/EBITDA</t>
  </si>
  <si>
    <t>P/E</t>
  </si>
  <si>
    <t>x</t>
  </si>
  <si>
    <t>Company</t>
  </si>
  <si>
    <t>Ticker</t>
  </si>
  <si>
    <t>Stock Price</t>
  </si>
  <si>
    <t>Total Debt</t>
  </si>
  <si>
    <t>Cash And Equivalents</t>
  </si>
  <si>
    <t>Total Revenues</t>
  </si>
  <si>
    <t>Effective Tax Rate</t>
  </si>
  <si>
    <t>Alkem Laboratories Limited</t>
  </si>
  <si>
    <t>ALKEM</t>
  </si>
  <si>
    <t>Zydus Lifesciences Limited</t>
  </si>
  <si>
    <t>ZYDUSLIFE</t>
  </si>
  <si>
    <t>Torrent Pharmaceuticals Limited</t>
  </si>
  <si>
    <t>Dr. Reddy's Laboratories Limited</t>
  </si>
  <si>
    <t>Aurobindo Pharma Limited</t>
  </si>
  <si>
    <t>AUROPHARMA</t>
  </si>
  <si>
    <t>Glenmark Pharmaceuticals Limited</t>
  </si>
  <si>
    <t>GLENMARK</t>
  </si>
  <si>
    <t>Lupin Limited</t>
  </si>
  <si>
    <t>Mankind Pharma Limited</t>
  </si>
  <si>
    <t>MANKIND</t>
  </si>
  <si>
    <t xml:space="preserve">Net Income </t>
  </si>
  <si>
    <t>Shares Outstanding Dil</t>
  </si>
  <si>
    <t>Average</t>
  </si>
  <si>
    <t>Median</t>
  </si>
  <si>
    <t>Metric</t>
  </si>
  <si>
    <t>EV/Revenue</t>
  </si>
  <si>
    <t xml:space="preserve">P/E </t>
  </si>
  <si>
    <t>Comps</t>
  </si>
  <si>
    <t>Net Debt</t>
  </si>
  <si>
    <t>Equity Value</t>
  </si>
  <si>
    <t>Share Price</t>
  </si>
  <si>
    <t>Equity Market Data</t>
  </si>
  <si>
    <t>Index</t>
  </si>
  <si>
    <t>Date</t>
  </si>
  <si>
    <t>Closing Price</t>
  </si>
  <si>
    <t>Years</t>
  </si>
  <si>
    <t>Returns</t>
  </si>
  <si>
    <t>Nifty 50</t>
  </si>
  <si>
    <t>Weighted-Average Cost of Capital(WACC)</t>
  </si>
  <si>
    <t>All Amounts in INR MM</t>
  </si>
  <si>
    <t>Comparable Companies Beta</t>
  </si>
  <si>
    <t>Name</t>
  </si>
  <si>
    <t>Alkem Pharma</t>
  </si>
  <si>
    <t>WACC Calculation</t>
  </si>
  <si>
    <t xml:space="preserve">Equity </t>
  </si>
  <si>
    <t>Value</t>
  </si>
  <si>
    <t xml:space="preserve">Total </t>
  </si>
  <si>
    <t>Debt/</t>
  </si>
  <si>
    <t>Capital</t>
  </si>
  <si>
    <t>Rate %</t>
  </si>
  <si>
    <t>Beta</t>
  </si>
  <si>
    <t>Unlevered</t>
  </si>
  <si>
    <t xml:space="preserve">Levered </t>
  </si>
  <si>
    <t>Target capital Structure</t>
  </si>
  <si>
    <t>Proportion of Debt</t>
  </si>
  <si>
    <t>Proportion of Equity</t>
  </si>
  <si>
    <t>Current Capital Structure</t>
  </si>
  <si>
    <t>Debt/Equity</t>
  </si>
  <si>
    <t>Cost of Debt</t>
  </si>
  <si>
    <t>Pre-Tax Cost of Debt</t>
  </si>
  <si>
    <t>Tax Rate</t>
  </si>
  <si>
    <t>After Tax Cost of Capital</t>
  </si>
  <si>
    <t>Cost of Equity</t>
  </si>
  <si>
    <t>Risk Free Rate</t>
  </si>
  <si>
    <t>Equity Market Return</t>
  </si>
  <si>
    <t>Equity Risk Premium</t>
  </si>
  <si>
    <t>Levered Equity Beta</t>
  </si>
  <si>
    <t>WACC</t>
  </si>
  <si>
    <t>Company Beta</t>
  </si>
  <si>
    <t>Close Price</t>
  </si>
  <si>
    <t xml:space="preserve">% Change </t>
  </si>
  <si>
    <t>Monthly</t>
  </si>
  <si>
    <t xml:space="preserve">Stock </t>
  </si>
  <si>
    <t>% Change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</si>
  <si>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</si>
  <si>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</si>
  <si>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</si>
  <si>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</si>
  <si>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</si>
  <si>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</si>
  <si>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</si>
  <si>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</si>
  <si>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</si>
  <si>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</si>
  <si>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</si>
  <si>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</si>
  <si>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</si>
  <si>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</si>
  <si>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</si>
  <si>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</si>
  <si>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</si>
  <si>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</si>
  <si>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</si>
  <si>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</si>
  <si>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</si>
  <si>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</si>
  <si>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</si>
  <si>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</si>
  <si>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Beta1</t>
  </si>
  <si>
    <t>Beta2</t>
  </si>
  <si>
    <t>DCF Model</t>
  </si>
  <si>
    <t>Assumptions</t>
  </si>
  <si>
    <t>Transaction Date</t>
  </si>
  <si>
    <t>Fiscal Year End</t>
  </si>
  <si>
    <t>Discounted Cash Flow</t>
  </si>
  <si>
    <t>Entry</t>
  </si>
  <si>
    <t>Exit</t>
  </si>
  <si>
    <t>Time Periods</t>
  </si>
  <si>
    <t>Year Frac.</t>
  </si>
  <si>
    <t>Less:Cash Taxes</t>
  </si>
  <si>
    <t>NOPAT</t>
  </si>
  <si>
    <t>Add: Depreciation &amp; Amortzation</t>
  </si>
  <si>
    <t>Less : Capex</t>
  </si>
  <si>
    <t>Less:Change in NWC</t>
  </si>
  <si>
    <t>Unleverd FCFF</t>
  </si>
  <si>
    <t>Trminal value</t>
  </si>
  <si>
    <t>Ev/EBITDA</t>
  </si>
  <si>
    <t xml:space="preserve">EV/EBITDA </t>
  </si>
  <si>
    <t>Perp.Growth</t>
  </si>
  <si>
    <t>Perpetual Growth Rate</t>
  </si>
  <si>
    <t>Discount Rate</t>
  </si>
  <si>
    <t>Transaction FCFF</t>
  </si>
  <si>
    <t>Intrinsic Value</t>
  </si>
  <si>
    <t>Add: Cash &amp; Equivalent</t>
  </si>
  <si>
    <t>Less: Debt</t>
  </si>
  <si>
    <t>Less: Non-Controlling Int</t>
  </si>
  <si>
    <t xml:space="preserve">Equity Value </t>
  </si>
  <si>
    <t>Shares O/S</t>
  </si>
  <si>
    <t>Equity Value/Share</t>
  </si>
  <si>
    <t>Market value</t>
  </si>
  <si>
    <t>Current Price</t>
  </si>
  <si>
    <t>Add: Debt</t>
  </si>
  <si>
    <t>Add: Non-Controlling Int</t>
  </si>
  <si>
    <t>Less: Cash</t>
  </si>
  <si>
    <t>Enterprise Value</t>
  </si>
  <si>
    <t>Rate of Return</t>
  </si>
  <si>
    <t>Target Price</t>
  </si>
  <si>
    <t>TP Uside</t>
  </si>
  <si>
    <t>Sensitivity Analysis</t>
  </si>
  <si>
    <t>Sensitivity Analysis - Intrinsic Value(Rs./Share)</t>
  </si>
  <si>
    <t>Exit Multiple</t>
  </si>
  <si>
    <t>Discount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</si>
</sst>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5" formatCode="&quot;₹&quot;\ #,##0;&quot;₹&quot;\ \-#,##0"/>
    <numFmt numFmtId="8" formatCode="&quot;₹&quot;\ #,##0.00;[Red]&quot;₹&quot;\ \-#,##0.00"/>
    <numFmt numFmtId="43" formatCode="_ * #,##0.00_ ;_ * \-#,##0.00_ ;_ * &quot;-&quot;??_ ;_ @_ "/>
    <numFmt numFmtId="164" formatCode="General&quot;A&quot;"/>
    <numFmt numFmtId="165" formatCode="General&quot;E&quot;"/>
    <numFmt numFmtId="166" formatCode="#,##0;\(#,##0\);0"/>
    <numFmt numFmtId="167" formatCode="#,##0&quot;x&quot;"/>
    <numFmt numFmtId="168" formatCode=";;;"/>
    <numFmt numFmtId="172" formatCode="0.000"/>
    <numFmt numFmtId="173" formatCode="0.00&quot;x&quot;"/>
    <numFmt numFmtId="174" formatCode="0.0"/>
    <numFmt numFmtId="175" formatCode="0.0%"/>
    <numFmt numFmtId="192" formatCode="General&quot;x&quot;"/>
  </numFmts>
  <fonts count="3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Book Antiqua"/>
      <family val="1"/>
    </font>
    <font>
      <b/>
      <sz val="20"/>
      <color theme="1"/>
      <name val="Book Antiqua"/>
      <family val="1"/>
    </font>
    <font>
      <b/>
      <sz val="24"/>
      <color theme="0"/>
      <name val="Book Antiqua"/>
      <family val="1"/>
    </font>
    <font>
      <b/>
      <sz val="14"/>
      <color theme="0"/>
      <name val="Book Antiqua"/>
      <family val="1"/>
    </font>
    <font>
      <b/>
      <sz val="26"/>
      <color theme="0"/>
      <name val="Book Antiqua"/>
      <family val="1"/>
    </font>
    <font>
      <sz val="11"/>
      <color theme="1"/>
      <name val="Book Antiqua"/>
      <family val="1"/>
    </font>
    <font>
      <sz val="14"/>
      <color theme="1"/>
      <name val="Book Antiqua"/>
      <family val="1"/>
    </font>
    <font>
      <sz val="9"/>
      <color rgb="FF000000"/>
      <name val="MyriadPro-Regular"/>
    </font>
    <font>
      <b/>
      <sz val="14"/>
      <color theme="1"/>
      <name val="Book Antiqua"/>
      <family val="1"/>
    </font>
    <font>
      <b/>
      <sz val="16"/>
      <color theme="1"/>
      <name val="Book Antiqua"/>
      <family val="1"/>
    </font>
    <font>
      <b/>
      <sz val="14"/>
      <color theme="1"/>
      <name val="Calibri"/>
      <family val="2"/>
      <scheme val="minor"/>
    </font>
    <font>
      <b/>
      <sz val="28"/>
      <color theme="0"/>
      <name val="Book Antiqua"/>
      <family val="1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3"/>
      <color theme="0"/>
      <name val="Book Antiqua"/>
      <family val="1"/>
    </font>
    <font>
      <sz val="11"/>
      <color rgb="FF00B050"/>
      <name val="Book Antiqua"/>
      <family val="1"/>
    </font>
    <font>
      <sz val="12"/>
      <color theme="1"/>
      <name val="Book Antiqua"/>
      <family val="1"/>
    </font>
    <font>
      <b/>
      <sz val="12"/>
      <color theme="1"/>
      <name val="Book Antiqua"/>
      <family val="1"/>
    </font>
    <font>
      <b/>
      <sz val="12"/>
      <color rgb="FF006600"/>
      <name val="Book Antiqua"/>
      <family val="1"/>
    </font>
    <font>
      <sz val="12"/>
      <color rgb="FF006600"/>
      <name val="Book Antiqua"/>
      <family val="1"/>
    </font>
    <font>
      <sz val="11"/>
      <color theme="1"/>
      <name val="Calibri"/>
      <family val="2"/>
      <scheme val="minor"/>
    </font>
    <font>
      <b/>
      <sz val="12"/>
      <color theme="0"/>
      <name val="Book Antiqua"/>
      <family val="1"/>
    </font>
    <font>
      <sz val="12"/>
      <color theme="4" tint="-0.249977111117893"/>
      <name val="Book Antiqua"/>
      <family val="1"/>
    </font>
    <font>
      <sz val="11"/>
      <color theme="0"/>
      <name val="Book Antiqua"/>
      <family val="1"/>
    </font>
    <font>
      <sz val="11"/>
      <color rgb="FF006600"/>
      <name val="Book Antiqua"/>
      <family val="1"/>
    </font>
    <font>
      <b/>
      <sz val="11"/>
      <color theme="0"/>
      <name val="Book Antiqua"/>
      <family val="1"/>
    </font>
    <font>
      <i/>
      <sz val="10"/>
      <color theme="0"/>
      <name val="Book Antiqua"/>
      <family val="1"/>
    </font>
    <font>
      <i/>
      <sz val="11"/>
      <color theme="1"/>
      <name val="Calibri"/>
      <family val="2"/>
      <scheme val="minor"/>
    </font>
    <font>
      <i/>
      <sz val="11"/>
      <color theme="1"/>
      <name val="Book Antiqua"/>
      <family val="1"/>
    </font>
    <font>
      <i/>
      <sz val="11"/>
      <color theme="4" tint="-0.499984740745262"/>
      <name val="Book Antiqua"/>
      <family val="1"/>
    </font>
  </fonts>
  <fills count="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ashed">
        <color auto="1"/>
      </top>
      <bottom style="thin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24" fillId="0" borderId="0" applyFont="0" applyFill="0" applyBorder="0" applyAlignment="0" applyProtection="0"/>
  </cellStyleXfs>
  <cellXfs count="183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2" borderId="0" xfId="0" applyFont="1" applyFill="1"/>
    <xf numFmtId="0" fontId="3" fillId="2" borderId="0" xfId="0" applyFont="1" applyFill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10" fillId="0" borderId="1" xfId="0" applyFont="1" applyBorder="1"/>
    <xf numFmtId="0" fontId="0" fillId="0" borderId="1" xfId="0" applyBorder="1"/>
    <xf numFmtId="4" fontId="9" fillId="0" borderId="0" xfId="0" applyNumberFormat="1" applyFont="1"/>
    <xf numFmtId="4" fontId="4" fillId="0" borderId="0" xfId="0" applyNumberFormat="1" applyFont="1"/>
    <xf numFmtId="0" fontId="4" fillId="0" borderId="2" xfId="0" applyFont="1" applyBorder="1"/>
    <xf numFmtId="0" fontId="2" fillId="0" borderId="2" xfId="0" applyFont="1" applyBorder="1"/>
    <xf numFmtId="4" fontId="4" fillId="0" borderId="2" xfId="0" applyNumberFormat="1" applyFont="1" applyBorder="1"/>
    <xf numFmtId="0" fontId="12" fillId="0" borderId="1" xfId="0" applyFont="1" applyBorder="1"/>
    <xf numFmtId="0" fontId="9" fillId="0" borderId="1" xfId="0" applyFont="1" applyBorder="1"/>
    <xf numFmtId="0" fontId="14" fillId="0" borderId="1" xfId="0" applyFont="1" applyBorder="1"/>
    <xf numFmtId="0" fontId="0" fillId="0" borderId="2" xfId="0" applyBorder="1"/>
    <xf numFmtId="0" fontId="9" fillId="0" borderId="2" xfId="0" applyFont="1" applyBorder="1"/>
    <xf numFmtId="0" fontId="9" fillId="0" borderId="4" xfId="0" applyFont="1" applyBorder="1"/>
    <xf numFmtId="0" fontId="0" fillId="0" borderId="4" xfId="0" applyBorder="1"/>
    <xf numFmtId="4" fontId="9" fillId="0" borderId="4" xfId="0" applyNumberFormat="1" applyFont="1" applyBorder="1"/>
    <xf numFmtId="0" fontId="9" fillId="0" borderId="3" xfId="0" applyFont="1" applyBorder="1"/>
    <xf numFmtId="0" fontId="0" fillId="0" borderId="3" xfId="0" applyBorder="1"/>
    <xf numFmtId="4" fontId="9" fillId="0" borderId="3" xfId="0" applyNumberFormat="1" applyFont="1" applyBorder="1"/>
    <xf numFmtId="4" fontId="11" fillId="0" borderId="4" xfId="0" applyNumberFormat="1" applyFont="1" applyBorder="1"/>
    <xf numFmtId="0" fontId="4" fillId="0" borderId="4" xfId="0" applyFont="1" applyBorder="1"/>
    <xf numFmtId="4" fontId="4" fillId="0" borderId="4" xfId="0" applyNumberFormat="1" applyFont="1" applyBorder="1"/>
    <xf numFmtId="0" fontId="2" fillId="0" borderId="4" xfId="0" applyFont="1" applyBorder="1"/>
    <xf numFmtId="0" fontId="4" fillId="0" borderId="3" xfId="0" applyFont="1" applyBorder="1"/>
    <xf numFmtId="0" fontId="2" fillId="0" borderId="3" xfId="0" applyFont="1" applyBorder="1"/>
    <xf numFmtId="4" fontId="4" fillId="0" borderId="3" xfId="0" applyNumberFormat="1" applyFont="1" applyBorder="1"/>
    <xf numFmtId="0" fontId="4" fillId="0" borderId="5" xfId="0" applyFont="1" applyBorder="1"/>
    <xf numFmtId="0" fontId="9" fillId="0" borderId="5" xfId="0" applyFont="1" applyBorder="1"/>
    <xf numFmtId="0" fontId="0" fillId="0" borderId="5" xfId="0" applyBorder="1"/>
    <xf numFmtId="0" fontId="4" fillId="0" borderId="0" xfId="0" applyFont="1" applyBorder="1"/>
    <xf numFmtId="0" fontId="2" fillId="0" borderId="0" xfId="0" applyFont="1" applyBorder="1"/>
    <xf numFmtId="3" fontId="4" fillId="0" borderId="0" xfId="0" applyNumberFormat="1" applyFont="1" applyBorder="1"/>
    <xf numFmtId="0" fontId="0" fillId="2" borderId="0" xfId="0" applyFill="1"/>
    <xf numFmtId="0" fontId="13" fillId="0" borderId="1" xfId="0" applyFont="1" applyBorder="1"/>
    <xf numFmtId="3" fontId="9" fillId="0" borderId="0" xfId="0" applyNumberFormat="1" applyFont="1"/>
    <xf numFmtId="0" fontId="9" fillId="0" borderId="0" xfId="0" applyFont="1" applyBorder="1"/>
    <xf numFmtId="43" fontId="9" fillId="0" borderId="0" xfId="0" applyNumberFormat="1" applyFont="1"/>
    <xf numFmtId="0" fontId="15" fillId="2" borderId="0" xfId="0" applyFont="1" applyFill="1"/>
    <xf numFmtId="0" fontId="1" fillId="2" borderId="0" xfId="0" applyFont="1" applyFill="1"/>
    <xf numFmtId="0" fontId="16" fillId="2" borderId="0" xfId="0" applyFont="1" applyFill="1"/>
    <xf numFmtId="0" fontId="17" fillId="2" borderId="0" xfId="0" applyFont="1" applyFill="1"/>
    <xf numFmtId="164" fontId="17" fillId="2" borderId="0" xfId="0" applyNumberFormat="1" applyFont="1" applyFill="1"/>
    <xf numFmtId="165" fontId="17" fillId="2" borderId="0" xfId="0" applyNumberFormat="1" applyFont="1" applyFill="1"/>
    <xf numFmtId="0" fontId="18" fillId="2" borderId="0" xfId="0" applyFont="1" applyFill="1"/>
    <xf numFmtId="166" fontId="0" fillId="0" borderId="0" xfId="0" applyNumberFormat="1"/>
    <xf numFmtId="0" fontId="9" fillId="0" borderId="6" xfId="0" applyFont="1" applyBorder="1"/>
    <xf numFmtId="0" fontId="2" fillId="0" borderId="6" xfId="0" applyFont="1" applyBorder="1"/>
    <xf numFmtId="0" fontId="4" fillId="0" borderId="6" xfId="0" applyFont="1" applyBorder="1"/>
    <xf numFmtId="0" fontId="19" fillId="0" borderId="0" xfId="0" applyFont="1"/>
    <xf numFmtId="0" fontId="4" fillId="0" borderId="7" xfId="0" applyFont="1" applyBorder="1"/>
    <xf numFmtId="166" fontId="9" fillId="0" borderId="0" xfId="0" applyNumberFormat="1" applyFont="1"/>
    <xf numFmtId="166" fontId="4" fillId="0" borderId="7" xfId="0" applyNumberFormat="1" applyFont="1" applyBorder="1"/>
    <xf numFmtId="166" fontId="4" fillId="0" borderId="6" xfId="0" applyNumberFormat="1" applyFont="1" applyBorder="1"/>
    <xf numFmtId="0" fontId="20" fillId="0" borderId="0" xfId="0" applyFont="1"/>
    <xf numFmtId="0" fontId="21" fillId="0" borderId="0" xfId="0" applyFont="1"/>
    <xf numFmtId="166" fontId="22" fillId="0" borderId="0" xfId="0" applyNumberFormat="1" applyFont="1"/>
    <xf numFmtId="166" fontId="20" fillId="0" borderId="0" xfId="0" applyNumberFormat="1" applyFont="1"/>
    <xf numFmtId="166" fontId="23" fillId="0" borderId="0" xfId="0" applyNumberFormat="1" applyFont="1"/>
    <xf numFmtId="0" fontId="21" fillId="0" borderId="6" xfId="0" applyFont="1" applyBorder="1"/>
    <xf numFmtId="166" fontId="21" fillId="0" borderId="6" xfId="0" applyNumberFormat="1" applyFont="1" applyBorder="1"/>
    <xf numFmtId="166" fontId="20" fillId="0" borderId="6" xfId="0" applyNumberFormat="1" applyFont="1" applyBorder="1"/>
    <xf numFmtId="0" fontId="20" fillId="0" borderId="6" xfId="0" applyFont="1" applyBorder="1"/>
    <xf numFmtId="0" fontId="20" fillId="0" borderId="1" xfId="0" applyFont="1" applyBorder="1"/>
    <xf numFmtId="166" fontId="23" fillId="0" borderId="1" xfId="0" applyNumberFormat="1" applyFont="1" applyBorder="1"/>
    <xf numFmtId="166" fontId="20" fillId="0" borderId="1" xfId="0" applyNumberFormat="1" applyFont="1" applyBorder="1"/>
    <xf numFmtId="166" fontId="21" fillId="0" borderId="0" xfId="0" applyNumberFormat="1" applyFont="1"/>
    <xf numFmtId="0" fontId="21" fillId="0" borderId="7" xfId="0" applyFont="1" applyBorder="1"/>
    <xf numFmtId="166" fontId="21" fillId="0" borderId="7" xfId="0" applyNumberFormat="1" applyFont="1" applyBorder="1"/>
    <xf numFmtId="3" fontId="23" fillId="0" borderId="0" xfId="0" applyNumberFormat="1" applyFont="1"/>
    <xf numFmtId="4" fontId="23" fillId="0" borderId="0" xfId="0" applyNumberFormat="1" applyFont="1"/>
    <xf numFmtId="166" fontId="4" fillId="0" borderId="2" xfId="0" applyNumberFormat="1" applyFont="1" applyBorder="1"/>
    <xf numFmtId="0" fontId="20" fillId="0" borderId="7" xfId="0" applyFont="1" applyBorder="1"/>
    <xf numFmtId="10" fontId="9" fillId="0" borderId="0" xfId="1" applyNumberFormat="1" applyFont="1"/>
    <xf numFmtId="0" fontId="9" fillId="0" borderId="0" xfId="0" applyFont="1" applyAlignment="1">
      <alignment horizontal="center"/>
    </xf>
    <xf numFmtId="10" fontId="9" fillId="0" borderId="0" xfId="1" applyNumberFormat="1" applyFont="1" applyAlignment="1">
      <alignment horizontal="center"/>
    </xf>
    <xf numFmtId="10" fontId="9" fillId="0" borderId="0" xfId="0" applyNumberFormat="1" applyFont="1"/>
    <xf numFmtId="1" fontId="9" fillId="0" borderId="0" xfId="0" applyNumberFormat="1" applyFont="1"/>
    <xf numFmtId="167" fontId="9" fillId="0" borderId="0" xfId="0" applyNumberFormat="1" applyFont="1"/>
    <xf numFmtId="0" fontId="25" fillId="2" borderId="0" xfId="0" applyFont="1" applyFill="1"/>
    <xf numFmtId="10" fontId="20" fillId="0" borderId="0" xfId="0" applyNumberFormat="1" applyFont="1"/>
    <xf numFmtId="10" fontId="20" fillId="0" borderId="8" xfId="0" applyNumberFormat="1" applyFont="1" applyBorder="1"/>
    <xf numFmtId="10" fontId="26" fillId="0" borderId="0" xfId="0" applyNumberFormat="1" applyFont="1"/>
    <xf numFmtId="0" fontId="4" fillId="3" borderId="9" xfId="0" applyFont="1" applyFill="1" applyBorder="1"/>
    <xf numFmtId="168" fontId="9" fillId="0" borderId="0" xfId="0" applyNumberFormat="1" applyFont="1"/>
    <xf numFmtId="0" fontId="0" fillId="0" borderId="0" xfId="0" applyBorder="1"/>
    <xf numFmtId="15" fontId="4" fillId="0" borderId="0" xfId="0" applyNumberFormat="1" applyFont="1" applyBorder="1"/>
    <xf numFmtId="43" fontId="9" fillId="0" borderId="0" xfId="0" applyNumberFormat="1" applyFont="1" applyBorder="1"/>
    <xf numFmtId="43" fontId="4" fillId="0" borderId="0" xfId="0" applyNumberFormat="1" applyFont="1" applyBorder="1"/>
    <xf numFmtId="15" fontId="9" fillId="0" borderId="0" xfId="0" applyNumberFormat="1" applyFont="1"/>
    <xf numFmtId="0" fontId="17" fillId="2" borderId="0" xfId="0" applyFont="1" applyFill="1" applyAlignment="1">
      <alignment horizontal="center"/>
    </xf>
    <xf numFmtId="9" fontId="9" fillId="0" borderId="0" xfId="1" applyFont="1"/>
    <xf numFmtId="3" fontId="20" fillId="0" borderId="0" xfId="0" applyNumberFormat="1" applyFont="1"/>
    <xf numFmtId="4" fontId="20" fillId="0" borderId="0" xfId="0" applyNumberFormat="1" applyFont="1"/>
    <xf numFmtId="166" fontId="4" fillId="0" borderId="0" xfId="0" applyNumberFormat="1" applyFont="1"/>
    <xf numFmtId="0" fontId="9" fillId="2" borderId="0" xfId="0" applyFont="1" applyFill="1"/>
    <xf numFmtId="0" fontId="27" fillId="2" borderId="0" xfId="0" applyFont="1" applyFill="1" applyAlignment="1">
      <alignment horizontal="center"/>
    </xf>
    <xf numFmtId="0" fontId="27" fillId="2" borderId="0" xfId="0" applyFont="1" applyFill="1"/>
    <xf numFmtId="0" fontId="27" fillId="2" borderId="0" xfId="0" applyFont="1" applyFill="1" applyAlignment="1">
      <alignment horizontal="right"/>
    </xf>
    <xf numFmtId="5" fontId="27" fillId="2" borderId="0" xfId="0" applyNumberFormat="1" applyFont="1" applyFill="1"/>
    <xf numFmtId="5" fontId="27" fillId="2" borderId="0" xfId="0" applyNumberFormat="1" applyFont="1" applyFill="1" applyAlignment="1">
      <alignment horizontal="right"/>
    </xf>
    <xf numFmtId="5" fontId="27" fillId="2" borderId="0" xfId="0" applyNumberFormat="1" applyFont="1" applyFill="1" applyAlignment="1">
      <alignment horizontal="center"/>
    </xf>
    <xf numFmtId="8" fontId="0" fillId="0" borderId="0" xfId="0" applyNumberFormat="1"/>
    <xf numFmtId="10" fontId="0" fillId="0" borderId="0" xfId="0" applyNumberFormat="1"/>
    <xf numFmtId="8" fontId="2" fillId="0" borderId="0" xfId="0" applyNumberFormat="1" applyFont="1"/>
    <xf numFmtId="10" fontId="2" fillId="0" borderId="0" xfId="0" applyNumberFormat="1" applyFont="1"/>
    <xf numFmtId="8" fontId="9" fillId="0" borderId="0" xfId="0" applyNumberFormat="1" applyFont="1"/>
    <xf numFmtId="4" fontId="0" fillId="0" borderId="0" xfId="0" applyNumberFormat="1"/>
    <xf numFmtId="173" fontId="0" fillId="0" borderId="0" xfId="0" applyNumberFormat="1"/>
    <xf numFmtId="173" fontId="3" fillId="2" borderId="0" xfId="0" applyNumberFormat="1" applyFont="1" applyFill="1"/>
    <xf numFmtId="173" fontId="9" fillId="0" borderId="0" xfId="0" applyNumberFormat="1" applyFont="1"/>
    <xf numFmtId="173" fontId="28" fillId="0" borderId="0" xfId="0" applyNumberFormat="1" applyFont="1"/>
    <xf numFmtId="0" fontId="29" fillId="2" borderId="0" xfId="0" applyFont="1" applyFill="1"/>
    <xf numFmtId="2" fontId="9" fillId="0" borderId="0" xfId="0" applyNumberFormat="1" applyFont="1"/>
    <xf numFmtId="0" fontId="29" fillId="2" borderId="0" xfId="0" applyFont="1" applyFill="1" applyAlignment="1">
      <alignment horizontal="center"/>
    </xf>
    <xf numFmtId="14" fontId="0" fillId="0" borderId="0" xfId="0" applyNumberFormat="1"/>
    <xf numFmtId="174" fontId="0" fillId="0" borderId="0" xfId="0" applyNumberFormat="1"/>
    <xf numFmtId="10" fontId="0" fillId="0" borderId="0" xfId="1" applyNumberFormat="1" applyFont="1"/>
    <xf numFmtId="174" fontId="9" fillId="0" borderId="9" xfId="0" applyNumberFormat="1" applyFont="1" applyBorder="1"/>
    <xf numFmtId="10" fontId="9" fillId="0" borderId="9" xfId="1" applyNumberFormat="1" applyFont="1" applyBorder="1"/>
    <xf numFmtId="14" fontId="9" fillId="0" borderId="0" xfId="0" applyNumberFormat="1" applyFont="1"/>
    <xf numFmtId="0" fontId="30" fillId="2" borderId="0" xfId="0" applyFont="1" applyFill="1"/>
    <xf numFmtId="0" fontId="4" fillId="4" borderId="6" xfId="0" applyFont="1" applyFill="1" applyBorder="1"/>
    <xf numFmtId="0" fontId="4" fillId="4" borderId="0" xfId="0" applyFont="1" applyFill="1" applyBorder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0" fontId="4" fillId="4" borderId="6" xfId="0" applyNumberFormat="1" applyFont="1" applyFill="1" applyBorder="1"/>
    <xf numFmtId="10" fontId="4" fillId="4" borderId="0" xfId="0" applyNumberFormat="1" applyFont="1" applyFill="1" applyBorder="1"/>
    <xf numFmtId="0" fontId="4" fillId="5" borderId="0" xfId="0" applyFont="1" applyFill="1"/>
    <xf numFmtId="8" fontId="4" fillId="5" borderId="0" xfId="0" applyNumberFormat="1" applyFont="1" applyFill="1"/>
    <xf numFmtId="0" fontId="4" fillId="4" borderId="0" xfId="0" applyFont="1" applyFill="1"/>
    <xf numFmtId="0" fontId="9" fillId="4" borderId="0" xfId="0" applyFont="1" applyFill="1"/>
    <xf numFmtId="0" fontId="4" fillId="6" borderId="0" xfId="0" applyFont="1" applyFill="1"/>
    <xf numFmtId="10" fontId="9" fillId="0" borderId="6" xfId="0" applyNumberFormat="1" applyFont="1" applyBorder="1"/>
    <xf numFmtId="10" fontId="9" fillId="6" borderId="8" xfId="0" applyNumberFormat="1" applyFont="1" applyFill="1" applyBorder="1"/>
    <xf numFmtId="10" fontId="28" fillId="0" borderId="0" xfId="0" applyNumberFormat="1" applyFont="1"/>
    <xf numFmtId="10" fontId="4" fillId="0" borderId="6" xfId="1" applyNumberFormat="1" applyFont="1" applyBorder="1"/>
    <xf numFmtId="0" fontId="4" fillId="6" borderId="0" xfId="0" applyFont="1" applyFill="1" applyBorder="1"/>
    <xf numFmtId="0" fontId="9" fillId="6" borderId="0" xfId="0" applyFont="1" applyFill="1" applyBorder="1"/>
    <xf numFmtId="0" fontId="4" fillId="6" borderId="2" xfId="0" applyFont="1" applyFill="1" applyBorder="1"/>
    <xf numFmtId="10" fontId="4" fillId="6" borderId="2" xfId="0" applyNumberFormat="1" applyFont="1" applyFill="1" applyBorder="1"/>
    <xf numFmtId="2" fontId="9" fillId="4" borderId="6" xfId="0" applyNumberFormat="1" applyFont="1" applyFill="1" applyBorder="1"/>
    <xf numFmtId="2" fontId="9" fillId="4" borderId="0" xfId="0" applyNumberFormat="1" applyFont="1" applyFill="1" applyBorder="1"/>
    <xf numFmtId="2" fontId="9" fillId="0" borderId="0" xfId="0" applyNumberFormat="1" applyFont="1" applyAlignment="1">
      <alignment horizontal="center"/>
    </xf>
    <xf numFmtId="2" fontId="9" fillId="4" borderId="6" xfId="0" applyNumberFormat="1" applyFont="1" applyFill="1" applyBorder="1" applyAlignment="1">
      <alignment horizontal="center"/>
    </xf>
    <xf numFmtId="2" fontId="9" fillId="4" borderId="0" xfId="0" applyNumberFormat="1" applyFont="1" applyFill="1" applyBorder="1" applyAlignment="1">
      <alignment horizontal="center"/>
    </xf>
    <xf numFmtId="2" fontId="4" fillId="0" borderId="0" xfId="0" applyNumberFormat="1" applyFont="1"/>
    <xf numFmtId="0" fontId="0" fillId="0" borderId="0" xfId="0" applyFill="1" applyBorder="1" applyAlignment="1"/>
    <xf numFmtId="0" fontId="0" fillId="0" borderId="10" xfId="0" applyFill="1" applyBorder="1" applyAlignment="1"/>
    <xf numFmtId="0" fontId="31" fillId="0" borderId="11" xfId="0" applyFont="1" applyFill="1" applyBorder="1" applyAlignment="1">
      <alignment horizontal="center"/>
    </xf>
    <xf numFmtId="0" fontId="31" fillId="0" borderId="11" xfId="0" applyFont="1" applyFill="1" applyBorder="1" applyAlignment="1">
      <alignment horizontal="centerContinuous"/>
    </xf>
    <xf numFmtId="0" fontId="32" fillId="0" borderId="0" xfId="0" applyFont="1"/>
    <xf numFmtId="172" fontId="32" fillId="0" borderId="0" xfId="0" applyNumberFormat="1" applyFont="1"/>
    <xf numFmtId="2" fontId="33" fillId="0" borderId="0" xfId="0" applyNumberFormat="1" applyFont="1"/>
    <xf numFmtId="166" fontId="9" fillId="0" borderId="1" xfId="0" applyNumberFormat="1" applyFont="1" applyBorder="1"/>
    <xf numFmtId="9" fontId="9" fillId="0" borderId="0" xfId="0" applyNumberFormat="1" applyFont="1"/>
    <xf numFmtId="0" fontId="4" fillId="7" borderId="1" xfId="0" applyFont="1" applyFill="1" applyBorder="1"/>
    <xf numFmtId="0" fontId="9" fillId="7" borderId="1" xfId="0" applyFont="1" applyFill="1" applyBorder="1"/>
    <xf numFmtId="0" fontId="9" fillId="8" borderId="0" xfId="0" applyFont="1" applyFill="1" applyBorder="1"/>
    <xf numFmtId="166" fontId="9" fillId="0" borderId="2" xfId="0" applyNumberFormat="1" applyFont="1" applyBorder="1"/>
    <xf numFmtId="0" fontId="9" fillId="6" borderId="6" xfId="0" applyFont="1" applyFill="1" applyBorder="1"/>
    <xf numFmtId="0" fontId="4" fillId="6" borderId="6" xfId="0" applyFont="1" applyFill="1" applyBorder="1"/>
    <xf numFmtId="8" fontId="4" fillId="6" borderId="6" xfId="0" applyNumberFormat="1" applyFont="1" applyFill="1" applyBorder="1"/>
    <xf numFmtId="174" fontId="4" fillId="6" borderId="6" xfId="0" applyNumberFormat="1" applyFont="1" applyFill="1" applyBorder="1"/>
    <xf numFmtId="166" fontId="4" fillId="6" borderId="6" xfId="0" applyNumberFormat="1" applyFont="1" applyFill="1" applyBorder="1"/>
    <xf numFmtId="0" fontId="4" fillId="5" borderId="1" xfId="0" applyFont="1" applyFill="1" applyBorder="1"/>
    <xf numFmtId="0" fontId="2" fillId="5" borderId="1" xfId="0" applyFont="1" applyFill="1" applyBorder="1"/>
    <xf numFmtId="3" fontId="0" fillId="0" borderId="0" xfId="0" applyNumberFormat="1"/>
    <xf numFmtId="192" fontId="4" fillId="0" borderId="0" xfId="0" applyNumberFormat="1" applyFont="1"/>
    <xf numFmtId="0" fontId="4" fillId="0" borderId="1" xfId="0" applyFont="1" applyBorder="1" applyAlignment="1">
      <alignment horizontal="center"/>
    </xf>
    <xf numFmtId="0" fontId="9" fillId="2" borderId="0" xfId="0" applyFont="1" applyFill="1" applyAlignment="1"/>
    <xf numFmtId="0" fontId="29" fillId="2" borderId="0" xfId="0" applyFont="1" applyFill="1" applyAlignment="1"/>
    <xf numFmtId="0" fontId="9" fillId="0" borderId="0" xfId="0" applyFont="1" applyAlignment="1"/>
    <xf numFmtId="0" fontId="9" fillId="0" borderId="12" xfId="0" applyFont="1" applyBorder="1"/>
    <xf numFmtId="175" fontId="9" fillId="0" borderId="12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6600"/>
      <color rgb="FF007A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B8FC-DCD5-423B-B2EF-1696AF6AB736}">
  <dimension ref="A1:Q178"/>
  <sheetViews>
    <sheetView showGridLines="0" topLeftCell="E160" workbookViewId="0">
      <selection activeCell="N161" sqref="N161"/>
    </sheetView>
  </sheetViews>
  <sheetFormatPr defaultRowHeight="16.5" outlineLevelRow="1"/>
  <cols>
    <col min="1" max="3" width="1.28515625" customWidth="1"/>
    <col min="4" max="4" width="60" customWidth="1"/>
    <col min="5" max="5" width="10.5703125" bestFit="1" customWidth="1"/>
    <col min="6" max="6" width="10.7109375" bestFit="1" customWidth="1"/>
    <col min="7" max="7" width="11" bestFit="1" customWidth="1"/>
    <col min="8" max="8" width="13" style="8" bestFit="1" customWidth="1"/>
    <col min="9" max="12" width="12.140625" style="8" bestFit="1" customWidth="1"/>
    <col min="13" max="13" width="11.5703125" style="8" bestFit="1" customWidth="1"/>
    <col min="14" max="14" width="10.85546875" style="8" bestFit="1" customWidth="1"/>
    <col min="15" max="15" width="10.7109375" style="8" bestFit="1" customWidth="1"/>
    <col min="16" max="16384" width="9.140625" style="8"/>
  </cols>
  <sheetData>
    <row r="1" spans="1:12" customFormat="1" ht="33.75">
      <c r="A1" s="40"/>
      <c r="B1" s="7" t="s">
        <v>0</v>
      </c>
      <c r="C1" s="40"/>
      <c r="D1" s="7"/>
      <c r="E1" s="4"/>
      <c r="F1" s="4"/>
      <c r="G1" s="4"/>
      <c r="H1" s="5"/>
      <c r="I1" s="5"/>
      <c r="J1" s="5"/>
      <c r="K1" s="5"/>
      <c r="L1" s="5"/>
    </row>
    <row r="2" spans="1:12" customFormat="1" ht="18.75">
      <c r="A2" s="40"/>
      <c r="B2" s="6" t="s">
        <v>1</v>
      </c>
      <c r="C2" s="40"/>
      <c r="D2" s="6"/>
      <c r="E2" s="5"/>
      <c r="F2" s="5"/>
      <c r="G2" s="5"/>
      <c r="H2" s="5"/>
      <c r="I2" s="5"/>
      <c r="J2" s="5"/>
      <c r="K2" s="5"/>
      <c r="L2" s="5"/>
    </row>
    <row r="3" spans="1:12" customFormat="1" ht="4.5" customHeight="1"/>
    <row r="4" spans="1:12" customFormat="1" ht="18.75">
      <c r="B4" s="16" t="s">
        <v>2</v>
      </c>
      <c r="C4" s="9"/>
      <c r="D4" s="9"/>
      <c r="E4" s="10"/>
      <c r="F4" s="10"/>
      <c r="G4" s="10"/>
      <c r="H4" s="10">
        <v>2021</v>
      </c>
      <c r="I4" s="10">
        <f>H4+1</f>
        <v>2022</v>
      </c>
      <c r="J4" s="10">
        <f t="shared" ref="J4:L4" si="0">I4+1</f>
        <v>2023</v>
      </c>
      <c r="K4" s="10">
        <f t="shared" si="0"/>
        <v>2024</v>
      </c>
      <c r="L4" s="10">
        <f t="shared" si="0"/>
        <v>2025</v>
      </c>
    </row>
    <row r="5" spans="1:12" customFormat="1" hidden="1" outlineLevel="1">
      <c r="C5" s="1" t="s">
        <v>3</v>
      </c>
      <c r="D5" s="8"/>
    </row>
    <row r="6" spans="1:12" hidden="1" outlineLevel="1">
      <c r="C6" s="21" t="s">
        <v>4</v>
      </c>
      <c r="D6" s="21"/>
      <c r="E6" s="22"/>
      <c r="F6" s="22"/>
      <c r="G6" s="22"/>
      <c r="H6" s="23">
        <v>88650.1</v>
      </c>
      <c r="I6" s="23">
        <v>106341.9</v>
      </c>
      <c r="J6" s="23">
        <v>115992.6</v>
      </c>
      <c r="K6" s="23">
        <v>126675.8</v>
      </c>
      <c r="L6" s="23">
        <v>129645.2</v>
      </c>
    </row>
    <row r="7" spans="1:12" hidden="1" outlineLevel="1">
      <c r="C7" s="24" t="s">
        <v>5</v>
      </c>
      <c r="D7" s="24"/>
      <c r="E7" s="25"/>
      <c r="F7" s="25"/>
      <c r="G7" s="25"/>
      <c r="H7" s="26">
        <v>2332.1</v>
      </c>
      <c r="I7" s="26">
        <v>1626.5</v>
      </c>
      <c r="J7" s="26">
        <v>2160.8000000000002</v>
      </c>
      <c r="K7" s="26">
        <v>3108.4</v>
      </c>
      <c r="L7" s="26">
        <v>4937.3999999999996</v>
      </c>
    </row>
    <row r="8" spans="1:12" hidden="1" outlineLevel="1">
      <c r="C8" s="13" t="s">
        <v>6</v>
      </c>
      <c r="D8" s="13"/>
      <c r="E8" s="14"/>
      <c r="F8" s="14"/>
      <c r="G8" s="14"/>
      <c r="H8" s="15">
        <f>SUM(H6:H7)</f>
        <v>90982.200000000012</v>
      </c>
      <c r="I8" s="15">
        <f t="shared" ref="I8:K8" si="1">SUM(I6:I7)</f>
        <v>107968.4</v>
      </c>
      <c r="J8" s="15">
        <f t="shared" si="1"/>
        <v>118153.40000000001</v>
      </c>
      <c r="K8" s="15">
        <f t="shared" si="1"/>
        <v>129784.2</v>
      </c>
      <c r="L8" s="15">
        <v>134582.6</v>
      </c>
    </row>
    <row r="9" spans="1:12" ht="2.25" hidden="1" customHeight="1" outlineLevel="1">
      <c r="C9" s="1"/>
      <c r="D9" s="1"/>
      <c r="E9" s="3"/>
      <c r="F9" s="3"/>
      <c r="G9" s="3"/>
      <c r="H9" s="12"/>
      <c r="I9" s="12"/>
      <c r="J9" s="12"/>
      <c r="K9" s="11">
        <v>32945.9</v>
      </c>
      <c r="L9" s="11">
        <v>34403.699999999997</v>
      </c>
    </row>
    <row r="10" spans="1:12" hidden="1" outlineLevel="1">
      <c r="C10" s="1" t="s">
        <v>7</v>
      </c>
      <c r="D10" s="8"/>
    </row>
    <row r="11" spans="1:12" hidden="1" outlineLevel="1">
      <c r="C11" s="21" t="s">
        <v>101</v>
      </c>
      <c r="D11" s="21"/>
      <c r="E11" s="22"/>
      <c r="F11" s="22"/>
      <c r="G11" s="22"/>
      <c r="H11" s="23">
        <v>23945.4</v>
      </c>
      <c r="I11" s="23">
        <v>32260.6</v>
      </c>
      <c r="J11" s="23">
        <v>30569.200000000001</v>
      </c>
      <c r="K11" s="23">
        <v>32945.9</v>
      </c>
      <c r="L11" s="23">
        <v>34403.699999999997</v>
      </c>
    </row>
    <row r="12" spans="1:12" hidden="1" outlineLevel="1">
      <c r="C12" s="21" t="s">
        <v>107</v>
      </c>
      <c r="D12" s="21"/>
      <c r="E12" s="22"/>
      <c r="F12" s="22"/>
      <c r="G12" s="22"/>
      <c r="H12" s="23">
        <v>14377.6</v>
      </c>
      <c r="I12" s="23">
        <v>14897.1</v>
      </c>
      <c r="J12" s="23">
        <v>13875.5</v>
      </c>
      <c r="K12" s="23">
        <v>16288.7</v>
      </c>
      <c r="L12" s="23">
        <v>15140.2</v>
      </c>
    </row>
    <row r="13" spans="1:12" hidden="1" outlineLevel="1">
      <c r="C13" s="21" t="s">
        <v>102</v>
      </c>
      <c r="D13" s="21"/>
      <c r="E13" s="22"/>
      <c r="F13" s="22"/>
      <c r="G13" s="22"/>
      <c r="H13" s="23">
        <v>-3338.4</v>
      </c>
      <c r="I13" s="23">
        <v>-5354.8</v>
      </c>
      <c r="J13" s="23">
        <v>4623.7</v>
      </c>
      <c r="K13" s="21">
        <v>141.19999999999999</v>
      </c>
      <c r="L13" s="23">
        <v>-1901.3</v>
      </c>
    </row>
    <row r="14" spans="1:12" hidden="1" outlineLevel="1">
      <c r="C14" s="21" t="s">
        <v>103</v>
      </c>
      <c r="D14" s="21"/>
      <c r="E14" s="22"/>
      <c r="F14" s="22"/>
      <c r="G14" s="22"/>
      <c r="H14" s="23">
        <v>16210.3</v>
      </c>
      <c r="I14" s="23">
        <v>19627.099999999999</v>
      </c>
      <c r="J14" s="23">
        <v>21313.5</v>
      </c>
      <c r="K14" s="23">
        <v>22010.1</v>
      </c>
      <c r="L14" s="23">
        <v>24539.200000000001</v>
      </c>
    </row>
    <row r="15" spans="1:12" hidden="1" outlineLevel="1">
      <c r="C15" s="21" t="s">
        <v>104</v>
      </c>
      <c r="D15" s="21"/>
      <c r="E15" s="22"/>
      <c r="F15" s="22"/>
      <c r="G15" s="22"/>
      <c r="H15" s="21">
        <v>589.20000000000005</v>
      </c>
      <c r="I15" s="23">
        <v>523.70000000000005</v>
      </c>
      <c r="J15" s="23">
        <v>1073.5999999999999</v>
      </c>
      <c r="K15" s="23">
        <v>1124.0999999999999</v>
      </c>
      <c r="L15" s="23">
        <v>1217</v>
      </c>
    </row>
    <row r="16" spans="1:12" hidden="1" outlineLevel="1">
      <c r="C16" s="21" t="s">
        <v>105</v>
      </c>
      <c r="D16" s="21"/>
      <c r="E16" s="22"/>
      <c r="F16" s="22"/>
      <c r="G16" s="22"/>
      <c r="H16" s="23">
        <v>2745.8</v>
      </c>
      <c r="I16" s="23">
        <v>3039.6</v>
      </c>
      <c r="J16" s="23">
        <v>3104.2</v>
      </c>
      <c r="K16" s="23">
        <v>2993</v>
      </c>
      <c r="L16" s="23">
        <v>3571.6</v>
      </c>
    </row>
    <row r="17" spans="2:12" hidden="1" outlineLevel="1">
      <c r="C17" s="24" t="s">
        <v>106</v>
      </c>
      <c r="D17" s="24"/>
      <c r="E17" s="25"/>
      <c r="F17" s="25"/>
      <c r="G17" s="25"/>
      <c r="H17" s="26">
        <v>18031.3</v>
      </c>
      <c r="I17" s="26">
        <v>24382.7</v>
      </c>
      <c r="J17" s="26">
        <v>29516.2</v>
      </c>
      <c r="K17" s="26">
        <v>32835</v>
      </c>
      <c r="L17" s="26">
        <v>32341.9</v>
      </c>
    </row>
    <row r="18" spans="2:12" ht="15" hidden="1" customHeight="1" outlineLevel="1">
      <c r="C18" s="13" t="s">
        <v>8</v>
      </c>
      <c r="D18" s="13"/>
      <c r="E18" s="14"/>
      <c r="F18" s="14"/>
      <c r="G18" s="14"/>
      <c r="H18" s="15">
        <f>SUM(H11:H17)</f>
        <v>72561.2</v>
      </c>
      <c r="I18" s="15">
        <f t="shared" ref="I18:J18" si="2">SUM(I11:I17)</f>
        <v>89375.999999999985</v>
      </c>
      <c r="J18" s="15">
        <f t="shared" si="2"/>
        <v>104075.9</v>
      </c>
      <c r="K18" s="15">
        <f>SUM(K11:K17)</f>
        <v>108338</v>
      </c>
      <c r="L18" s="15">
        <f>SUM(L11:L17)</f>
        <v>109312.29999999999</v>
      </c>
    </row>
    <row r="19" spans="2:12" ht="2.25" hidden="1" customHeight="1" outlineLevel="1">
      <c r="C19" s="1"/>
      <c r="D19" s="1"/>
      <c r="E19" s="3"/>
      <c r="F19" s="3"/>
      <c r="G19" s="3"/>
      <c r="H19" s="12"/>
      <c r="I19" s="12"/>
      <c r="J19" s="12"/>
    </row>
    <row r="20" spans="2:12" hidden="1" outlineLevel="1">
      <c r="C20" s="8" t="s">
        <v>9</v>
      </c>
      <c r="D20" s="21"/>
      <c r="E20" s="22"/>
      <c r="F20" s="22"/>
      <c r="G20" s="22"/>
      <c r="H20" s="23">
        <v>18421</v>
      </c>
      <c r="I20" s="23">
        <v>18592.400000000001</v>
      </c>
      <c r="J20" s="23">
        <v>14077.5</v>
      </c>
      <c r="K20" s="23">
        <v>21446.2</v>
      </c>
      <c r="L20" s="23">
        <v>25270.3</v>
      </c>
    </row>
    <row r="21" spans="2:12" hidden="1" outlineLevel="1">
      <c r="C21" s="8" t="s">
        <v>10</v>
      </c>
      <c r="D21" s="24"/>
      <c r="E21" s="25"/>
      <c r="F21" s="25"/>
      <c r="G21" s="25"/>
      <c r="H21" s="24">
        <v>0</v>
      </c>
      <c r="I21" s="24">
        <v>-149.6</v>
      </c>
      <c r="J21" s="26">
        <v>-1029.8</v>
      </c>
      <c r="K21" s="26">
        <v>-1214.9000000000001</v>
      </c>
      <c r="L21" s="24">
        <v>0</v>
      </c>
    </row>
    <row r="22" spans="2:12" hidden="1" outlineLevel="1">
      <c r="C22" s="1" t="s">
        <v>11</v>
      </c>
      <c r="D22" s="1"/>
      <c r="E22" s="3"/>
      <c r="F22" s="3"/>
      <c r="G22" s="3"/>
      <c r="H22" s="12">
        <f>SUM(H20:H21)</f>
        <v>18421</v>
      </c>
      <c r="I22" s="12">
        <f t="shared" ref="I22:L22" si="3">SUM(I20:I21)</f>
        <v>18442.800000000003</v>
      </c>
      <c r="J22" s="12">
        <f t="shared" si="3"/>
        <v>13047.7</v>
      </c>
      <c r="K22" s="12">
        <f t="shared" si="3"/>
        <v>20231.3</v>
      </c>
      <c r="L22" s="12">
        <f t="shared" si="3"/>
        <v>25270.3</v>
      </c>
    </row>
    <row r="23" spans="2:12" hidden="1" outlineLevel="1">
      <c r="C23" s="1" t="s">
        <v>12</v>
      </c>
      <c r="D23" s="1"/>
    </row>
    <row r="24" spans="2:12" hidden="1" outlineLevel="1">
      <c r="C24" s="21" t="s">
        <v>13</v>
      </c>
      <c r="D24" s="21"/>
      <c r="E24" s="22"/>
      <c r="F24" s="22"/>
      <c r="G24" s="22"/>
      <c r="H24" s="23">
        <v>3965.3</v>
      </c>
      <c r="I24" s="23">
        <v>3619.8</v>
      </c>
      <c r="J24" s="23">
        <v>2739</v>
      </c>
      <c r="K24" s="23">
        <v>4222.8</v>
      </c>
      <c r="L24" s="23">
        <v>5236</v>
      </c>
    </row>
    <row r="25" spans="2:12" hidden="1" outlineLevel="1">
      <c r="C25" s="24" t="s">
        <v>14</v>
      </c>
      <c r="D25" s="24"/>
      <c r="E25" s="25"/>
      <c r="F25" s="25"/>
      <c r="G25" s="25"/>
      <c r="H25" s="26">
        <v>-1722</v>
      </c>
      <c r="I25" s="26">
        <v>-1980.2</v>
      </c>
      <c r="J25" s="24">
        <v>240.6</v>
      </c>
      <c r="K25" s="26">
        <v>-2106.1</v>
      </c>
      <c r="L25" s="26">
        <v>-2125.6999999999998</v>
      </c>
    </row>
    <row r="26" spans="2:12" hidden="1" outlineLevel="1">
      <c r="C26" s="13" t="s">
        <v>15</v>
      </c>
      <c r="D26" s="13"/>
      <c r="E26" s="14"/>
      <c r="F26" s="14"/>
      <c r="G26" s="14"/>
      <c r="H26" s="15">
        <f>SUM(H24:H25)</f>
        <v>2243.3000000000002</v>
      </c>
      <c r="I26" s="15">
        <f t="shared" ref="I26:L26" si="4">SUM(I24:I25)</f>
        <v>1639.6000000000001</v>
      </c>
      <c r="J26" s="15">
        <f t="shared" si="4"/>
        <v>2979.6</v>
      </c>
      <c r="K26" s="15">
        <f t="shared" si="4"/>
        <v>2116.7000000000003</v>
      </c>
      <c r="L26" s="15">
        <f t="shared" si="4"/>
        <v>3110.3</v>
      </c>
    </row>
    <row r="27" spans="2:12" hidden="1" outlineLevel="1">
      <c r="C27" s="13" t="s">
        <v>16</v>
      </c>
      <c r="D27" s="13"/>
      <c r="E27" s="14"/>
      <c r="F27" s="14"/>
      <c r="G27" s="14"/>
      <c r="H27" s="15">
        <f>H22-H26</f>
        <v>16177.7</v>
      </c>
      <c r="I27" s="15">
        <f t="shared" ref="I27:L27" si="5">I22-I26</f>
        <v>16803.200000000004</v>
      </c>
      <c r="J27" s="15">
        <f t="shared" si="5"/>
        <v>10068.1</v>
      </c>
      <c r="K27" s="15">
        <f t="shared" si="5"/>
        <v>18114.599999999999</v>
      </c>
      <c r="L27" s="15">
        <f t="shared" si="5"/>
        <v>22160</v>
      </c>
    </row>
    <row r="28" spans="2:12" collapsed="1">
      <c r="C28" s="8"/>
      <c r="D28" s="8"/>
      <c r="L28" s="11"/>
    </row>
    <row r="29" spans="2:12" ht="26.25">
      <c r="B29" s="2" t="s">
        <v>17</v>
      </c>
      <c r="C29" s="8"/>
      <c r="D29" s="8"/>
      <c r="H29" s="11"/>
      <c r="I29" s="11"/>
      <c r="J29" s="11"/>
    </row>
    <row r="30" spans="2:12" ht="18.75" outlineLevel="1">
      <c r="B30" s="16" t="s">
        <v>34</v>
      </c>
      <c r="C30" s="16"/>
      <c r="D30" s="10"/>
      <c r="E30" s="10"/>
      <c r="F30" s="10"/>
      <c r="G30" s="10"/>
      <c r="H30" s="18">
        <v>2021</v>
      </c>
      <c r="I30" s="18">
        <f>H30+1</f>
        <v>2022</v>
      </c>
      <c r="J30" s="18">
        <f t="shared" ref="J30:L30" si="6">I30+1</f>
        <v>2023</v>
      </c>
      <c r="K30" s="18">
        <f t="shared" si="6"/>
        <v>2024</v>
      </c>
      <c r="L30" s="18">
        <f t="shared" si="6"/>
        <v>2025</v>
      </c>
    </row>
    <row r="31" spans="2:12" outlineLevel="1">
      <c r="B31" s="1" t="s">
        <v>18</v>
      </c>
      <c r="C31" s="8"/>
    </row>
    <row r="32" spans="2:12" outlineLevel="1">
      <c r="B32" s="1" t="s">
        <v>19</v>
      </c>
      <c r="C32" s="8"/>
    </row>
    <row r="33" spans="2:12" outlineLevel="1">
      <c r="B33" s="21" t="s">
        <v>20</v>
      </c>
      <c r="C33" s="21"/>
      <c r="D33" s="22"/>
      <c r="E33" s="22"/>
      <c r="F33" s="22"/>
      <c r="G33" s="22"/>
      <c r="H33" s="23">
        <v>22339.3</v>
      </c>
      <c r="I33" s="23">
        <v>22871</v>
      </c>
      <c r="J33" s="23">
        <v>20654</v>
      </c>
      <c r="K33" s="23">
        <v>21614.6</v>
      </c>
      <c r="L33" s="23">
        <v>20639.3</v>
      </c>
    </row>
    <row r="34" spans="2:12" outlineLevel="1">
      <c r="B34" s="21" t="s">
        <v>21</v>
      </c>
      <c r="C34" s="21"/>
      <c r="D34" s="22"/>
      <c r="E34" s="22"/>
      <c r="F34" s="22"/>
      <c r="G34" s="22"/>
      <c r="H34" s="23">
        <v>0</v>
      </c>
      <c r="I34" s="23">
        <v>1393.5</v>
      </c>
      <c r="J34" s="23">
        <v>1378.5</v>
      </c>
      <c r="K34" s="23">
        <v>2471.6999999999998</v>
      </c>
      <c r="L34" s="23">
        <v>3222.2</v>
      </c>
    </row>
    <row r="35" spans="2:12" outlineLevel="1">
      <c r="B35" s="21" t="s">
        <v>22</v>
      </c>
      <c r="C35" s="21"/>
      <c r="D35" s="22"/>
      <c r="E35" s="22"/>
      <c r="F35" s="22"/>
      <c r="G35" s="22"/>
      <c r="H35" s="23">
        <v>3932.8</v>
      </c>
      <c r="I35" s="23">
        <v>3394.8</v>
      </c>
      <c r="J35" s="23">
        <v>3102.7</v>
      </c>
      <c r="K35" s="23">
        <v>1484</v>
      </c>
      <c r="L35" s="23">
        <v>4765.5</v>
      </c>
    </row>
    <row r="36" spans="2:12" outlineLevel="1">
      <c r="B36" s="21" t="s">
        <v>23</v>
      </c>
      <c r="C36" s="21"/>
      <c r="D36" s="22"/>
      <c r="E36" s="22"/>
      <c r="F36" s="22"/>
      <c r="G36" s="22"/>
      <c r="H36" s="23">
        <v>3953.9</v>
      </c>
      <c r="I36" s="23">
        <v>4030.9</v>
      </c>
      <c r="J36" s="23">
        <v>4131.7</v>
      </c>
      <c r="K36" s="23">
        <v>4167.3999999999996</v>
      </c>
      <c r="L36" s="23">
        <v>4231.1000000000004</v>
      </c>
    </row>
    <row r="37" spans="2:12" outlineLevel="1">
      <c r="B37" s="21" t="s">
        <v>24</v>
      </c>
      <c r="C37" s="21"/>
      <c r="D37" s="22"/>
      <c r="E37" s="22"/>
      <c r="F37" s="22"/>
      <c r="G37" s="22"/>
      <c r="H37" s="23">
        <v>1636.6</v>
      </c>
      <c r="I37" s="21">
        <v>721.9</v>
      </c>
      <c r="J37" s="21">
        <v>664.1</v>
      </c>
      <c r="K37" s="21">
        <v>474.1</v>
      </c>
      <c r="L37" s="21">
        <v>430.5</v>
      </c>
    </row>
    <row r="38" spans="2:12" outlineLevel="1">
      <c r="B38" s="21" t="s">
        <v>25</v>
      </c>
      <c r="C38" s="21"/>
      <c r="D38" s="22"/>
      <c r="E38" s="22"/>
      <c r="F38" s="22"/>
      <c r="G38" s="22"/>
      <c r="H38" s="21">
        <v>0</v>
      </c>
      <c r="I38" s="21"/>
      <c r="J38" s="21">
        <v>129.69999999999999</v>
      </c>
      <c r="K38" s="21">
        <v>101.7</v>
      </c>
      <c r="L38" s="21">
        <v>715.2</v>
      </c>
    </row>
    <row r="39" spans="2:12" outlineLevel="1">
      <c r="B39" s="21" t="s">
        <v>26</v>
      </c>
      <c r="C39" s="21"/>
      <c r="D39" s="22"/>
      <c r="E39" s="22"/>
      <c r="F39" s="22"/>
      <c r="G39" s="22"/>
      <c r="H39" s="21"/>
      <c r="I39" s="23"/>
      <c r="J39" s="21"/>
      <c r="K39" s="21"/>
      <c r="L39" s="21"/>
    </row>
    <row r="40" spans="2:12" outlineLevel="1">
      <c r="B40" s="22"/>
      <c r="C40" s="21" t="s">
        <v>27</v>
      </c>
      <c r="D40" s="21"/>
      <c r="E40" s="22"/>
      <c r="F40" s="22"/>
      <c r="G40" s="22"/>
      <c r="H40" s="23">
        <v>1539.5</v>
      </c>
      <c r="I40" s="23">
        <v>2316.6999999999998</v>
      </c>
      <c r="J40" s="23">
        <v>3046.1</v>
      </c>
      <c r="K40" s="21">
        <v>0</v>
      </c>
      <c r="L40" s="21">
        <v>323.8</v>
      </c>
    </row>
    <row r="41" spans="2:12" outlineLevel="1">
      <c r="B41" s="22"/>
      <c r="C41" s="21" t="s">
        <v>28</v>
      </c>
      <c r="D41" s="21"/>
      <c r="E41" s="22"/>
      <c r="F41" s="22"/>
      <c r="G41" s="22"/>
      <c r="H41" s="23">
        <v>80.2</v>
      </c>
      <c r="I41" s="23">
        <v>80.2</v>
      </c>
      <c r="J41" s="21">
        <v>80.2</v>
      </c>
      <c r="K41" s="23">
        <v>3348</v>
      </c>
      <c r="L41" s="23">
        <v>9108.6</v>
      </c>
    </row>
    <row r="42" spans="2:12" outlineLevel="1">
      <c r="B42" s="22"/>
      <c r="C42" s="21" t="s">
        <v>29</v>
      </c>
      <c r="D42" s="21"/>
      <c r="E42" s="22"/>
      <c r="F42" s="22"/>
      <c r="G42" s="22"/>
      <c r="H42" s="21">
        <v>607.9</v>
      </c>
      <c r="I42" s="23">
        <v>7106.7</v>
      </c>
      <c r="J42" s="23">
        <v>2952.5</v>
      </c>
      <c r="K42" s="23">
        <v>1202.2</v>
      </c>
      <c r="L42" s="23">
        <v>4753.6000000000004</v>
      </c>
    </row>
    <row r="43" spans="2:12" outlineLevel="1">
      <c r="B43" s="21" t="s">
        <v>30</v>
      </c>
      <c r="C43" s="22"/>
      <c r="D43" s="21"/>
      <c r="E43" s="22"/>
      <c r="F43" s="22"/>
      <c r="G43" s="22"/>
      <c r="H43" s="27">
        <v>11079.1</v>
      </c>
      <c r="I43" s="23">
        <v>13092.6</v>
      </c>
      <c r="J43" s="23">
        <v>13025</v>
      </c>
      <c r="K43" s="23">
        <v>15148.3</v>
      </c>
      <c r="L43" s="23">
        <v>17382.5</v>
      </c>
    </row>
    <row r="44" spans="2:12" outlineLevel="1">
      <c r="B44" s="21" t="s">
        <v>31</v>
      </c>
      <c r="C44" s="22"/>
      <c r="D44" s="21"/>
      <c r="E44" s="22"/>
      <c r="F44" s="22"/>
      <c r="G44" s="22"/>
      <c r="H44" s="23">
        <v>171.1</v>
      </c>
      <c r="I44" s="21">
        <v>533.1</v>
      </c>
      <c r="J44" s="21">
        <v>575.4</v>
      </c>
      <c r="K44" s="21">
        <v>781.7</v>
      </c>
      <c r="L44" s="21">
        <v>647.1</v>
      </c>
    </row>
    <row r="45" spans="2:12" outlineLevel="1">
      <c r="B45" s="24" t="s">
        <v>32</v>
      </c>
      <c r="C45" s="25"/>
      <c r="D45" s="24"/>
      <c r="E45" s="25"/>
      <c r="F45" s="25"/>
      <c r="G45" s="25"/>
      <c r="H45" s="24">
        <v>564</v>
      </c>
      <c r="I45" s="26">
        <v>796.2</v>
      </c>
      <c r="J45" s="24">
        <v>529.6</v>
      </c>
      <c r="K45" s="24">
        <v>839.5</v>
      </c>
      <c r="L45" s="26">
        <v>1233.4000000000001</v>
      </c>
    </row>
    <row r="46" spans="2:12" outlineLevel="1">
      <c r="B46" s="13" t="s">
        <v>33</v>
      </c>
      <c r="C46" s="19"/>
      <c r="D46" s="20"/>
      <c r="E46" s="19"/>
      <c r="F46" s="19"/>
      <c r="G46" s="19"/>
      <c r="H46" s="15">
        <f>SUM(H33:H45)</f>
        <v>45904.399999999994</v>
      </c>
      <c r="I46" s="15">
        <f>SUM(I33:I45)</f>
        <v>56337.599999999991</v>
      </c>
      <c r="J46" s="15">
        <f>SUM(J33:J45)</f>
        <v>50269.5</v>
      </c>
      <c r="K46" s="15">
        <f>SUM(K33:K45)</f>
        <v>51633.2</v>
      </c>
      <c r="L46" s="15">
        <f>SUM(L33:L45)</f>
        <v>67452.799999999988</v>
      </c>
    </row>
    <row r="47" spans="2:12" ht="5.25" customHeight="1" outlineLevel="1">
      <c r="B47" s="1"/>
      <c r="D47" s="8"/>
      <c r="L47" s="12"/>
    </row>
    <row r="48" spans="2:12" outlineLevel="1">
      <c r="B48" s="1" t="s">
        <v>35</v>
      </c>
    </row>
    <row r="49" spans="2:12" outlineLevel="1">
      <c r="B49" s="21" t="s">
        <v>36</v>
      </c>
      <c r="C49" s="22"/>
      <c r="D49" s="22"/>
      <c r="E49" s="22"/>
      <c r="F49" s="22"/>
      <c r="G49" s="22"/>
      <c r="H49" s="23">
        <v>23124.400000000001</v>
      </c>
      <c r="I49" s="23">
        <v>30055.3</v>
      </c>
      <c r="J49" s="23">
        <v>26075.3</v>
      </c>
      <c r="K49" s="23">
        <v>26611.8</v>
      </c>
      <c r="L49" s="23">
        <v>29224.1</v>
      </c>
    </row>
    <row r="50" spans="2:12" outlineLevel="1">
      <c r="B50" s="21" t="s">
        <v>37</v>
      </c>
      <c r="C50" s="22"/>
      <c r="D50" s="22"/>
      <c r="E50" s="22"/>
      <c r="F50" s="22"/>
      <c r="G50" s="22"/>
      <c r="H50" s="21"/>
      <c r="I50" s="21"/>
      <c r="J50" s="23"/>
      <c r="K50" s="21"/>
      <c r="L50" s="21"/>
    </row>
    <row r="51" spans="2:12" outlineLevel="1">
      <c r="B51" s="21"/>
      <c r="C51" s="21" t="s">
        <v>38</v>
      </c>
      <c r="D51" s="22"/>
      <c r="E51" s="22"/>
      <c r="F51" s="22"/>
      <c r="G51" s="22"/>
      <c r="H51" s="23">
        <v>1788.3</v>
      </c>
      <c r="I51" s="23">
        <v>1393.1</v>
      </c>
      <c r="J51" s="23">
        <v>3172.1</v>
      </c>
      <c r="K51" s="23">
        <v>1489.9</v>
      </c>
      <c r="L51" s="23">
        <v>9022.6</v>
      </c>
    </row>
    <row r="52" spans="2:12" outlineLevel="1">
      <c r="B52" s="21"/>
      <c r="C52" s="21" t="s">
        <v>39</v>
      </c>
      <c r="D52" s="22"/>
      <c r="E52" s="22"/>
      <c r="F52" s="22"/>
      <c r="G52" s="22"/>
      <c r="H52" s="23">
        <v>16072.1</v>
      </c>
      <c r="I52" s="23">
        <v>18846</v>
      </c>
      <c r="J52" s="23">
        <v>21321.8</v>
      </c>
      <c r="K52" s="23">
        <v>22528.1</v>
      </c>
      <c r="L52" s="23">
        <v>24662.5</v>
      </c>
    </row>
    <row r="53" spans="2:12" outlineLevel="1">
      <c r="B53" s="21"/>
      <c r="C53" s="21" t="s">
        <v>40</v>
      </c>
      <c r="D53" s="22"/>
      <c r="E53" s="22"/>
      <c r="F53" s="22"/>
      <c r="G53" s="22"/>
      <c r="H53" s="23">
        <v>1742.2</v>
      </c>
      <c r="I53" s="23">
        <v>2321.8000000000002</v>
      </c>
      <c r="J53" s="23">
        <v>2738</v>
      </c>
      <c r="K53" s="23">
        <v>4550.7</v>
      </c>
      <c r="L53" s="23">
        <v>3041.4</v>
      </c>
    </row>
    <row r="54" spans="2:12" outlineLevel="1">
      <c r="B54" s="21" t="s">
        <v>41</v>
      </c>
      <c r="C54" s="22"/>
      <c r="D54" s="22"/>
      <c r="E54" s="22"/>
      <c r="F54" s="22"/>
      <c r="G54" s="22"/>
      <c r="H54" s="23">
        <v>18162.3</v>
      </c>
      <c r="I54" s="23">
        <v>23464</v>
      </c>
      <c r="J54" s="23">
        <v>23430.9</v>
      </c>
      <c r="K54" s="23">
        <v>11242.8</v>
      </c>
      <c r="L54" s="23">
        <v>12589.4</v>
      </c>
    </row>
    <row r="55" spans="2:12" outlineLevel="1">
      <c r="B55" s="21" t="s">
        <v>42</v>
      </c>
      <c r="C55" s="22"/>
      <c r="D55" s="22"/>
      <c r="E55" s="22"/>
      <c r="F55" s="22"/>
      <c r="G55" s="22"/>
      <c r="H55" s="21">
        <v>187.3</v>
      </c>
      <c r="I55" s="21">
        <v>202.5</v>
      </c>
      <c r="J55" s="23">
        <v>67.7</v>
      </c>
      <c r="K55" s="21">
        <v>90.7</v>
      </c>
      <c r="L55" s="21">
        <v>90.4</v>
      </c>
    </row>
    <row r="56" spans="2:12" outlineLevel="1">
      <c r="B56" s="21" t="s">
        <v>43</v>
      </c>
      <c r="C56" s="22"/>
      <c r="D56" s="22"/>
      <c r="E56" s="22"/>
      <c r="F56" s="22"/>
      <c r="G56" s="22"/>
      <c r="H56" s="23">
        <v>2606</v>
      </c>
      <c r="I56" s="23">
        <v>1731.5</v>
      </c>
      <c r="J56" s="23">
        <v>1897.5</v>
      </c>
      <c r="K56" s="23">
        <v>29302</v>
      </c>
      <c r="L56" s="23">
        <v>21154.799999999999</v>
      </c>
    </row>
    <row r="57" spans="2:12" outlineLevel="1">
      <c r="B57" s="21" t="s">
        <v>44</v>
      </c>
      <c r="C57" s="22"/>
      <c r="D57" s="22"/>
      <c r="E57" s="22"/>
      <c r="F57" s="22"/>
      <c r="G57" s="22"/>
      <c r="H57" s="23">
        <v>5550.1</v>
      </c>
      <c r="I57" s="23">
        <v>6322.8</v>
      </c>
      <c r="J57" s="23">
        <v>7360.9</v>
      </c>
      <c r="K57" s="23">
        <v>8299.7999999999993</v>
      </c>
      <c r="L57" s="23">
        <v>8326.7000000000007</v>
      </c>
    </row>
    <row r="58" spans="2:12" outlineLevel="1">
      <c r="B58" s="28" t="s">
        <v>45</v>
      </c>
      <c r="C58" s="22"/>
      <c r="D58" s="22"/>
      <c r="E58" s="22"/>
      <c r="F58" s="22"/>
      <c r="G58" s="22"/>
      <c r="H58" s="29">
        <f>SUM(H49:H57)</f>
        <v>69232.700000000012</v>
      </c>
      <c r="I58" s="29">
        <f>SUM(I49:I57)</f>
        <v>84337</v>
      </c>
      <c r="J58" s="29">
        <f>SUM(J49:J57)</f>
        <v>86064.2</v>
      </c>
      <c r="K58" s="29">
        <v>104115.8</v>
      </c>
      <c r="L58" s="29">
        <f>SUM(L49:L57)</f>
        <v>108111.89999999998</v>
      </c>
    </row>
    <row r="59" spans="2:12" outlineLevel="1">
      <c r="B59" s="24" t="s">
        <v>46</v>
      </c>
      <c r="C59" s="25"/>
      <c r="D59" s="25"/>
      <c r="E59" s="25"/>
      <c r="F59" s="25"/>
      <c r="G59" s="25"/>
      <c r="H59" s="24">
        <v>55.5</v>
      </c>
      <c r="I59" s="24">
        <v>17.3</v>
      </c>
      <c r="J59" s="26">
        <v>1232.5999999999999</v>
      </c>
      <c r="K59" s="24">
        <v>0</v>
      </c>
      <c r="L59" s="26">
        <v>1346.3</v>
      </c>
    </row>
    <row r="60" spans="2:12" outlineLevel="1">
      <c r="B60" s="13" t="s">
        <v>47</v>
      </c>
      <c r="C60" s="19"/>
      <c r="D60" s="19"/>
      <c r="E60" s="19"/>
      <c r="F60" s="19"/>
      <c r="G60" s="19"/>
      <c r="H60" s="15">
        <f>H59+H58+H46</f>
        <v>115192.6</v>
      </c>
      <c r="I60" s="15">
        <f>I58+I46+I59</f>
        <v>140691.89999999997</v>
      </c>
      <c r="J60" s="15">
        <f>J58+J46+J59</f>
        <v>137566.30000000002</v>
      </c>
      <c r="K60" s="15">
        <f>K58+K46</f>
        <v>155749</v>
      </c>
      <c r="L60" s="15">
        <f>L58+L46</f>
        <v>175564.69999999995</v>
      </c>
    </row>
    <row r="61" spans="2:12" ht="6.75" customHeight="1" outlineLevel="1">
      <c r="J61" s="11"/>
    </row>
    <row r="62" spans="2:12" outlineLevel="1">
      <c r="B62" s="1" t="s">
        <v>48</v>
      </c>
      <c r="C62" s="8"/>
      <c r="D62" s="8"/>
    </row>
    <row r="63" spans="2:12" ht="1.5" customHeight="1" outlineLevel="1">
      <c r="B63" s="8"/>
      <c r="C63" s="8"/>
      <c r="D63" s="8"/>
    </row>
    <row r="64" spans="2:12" outlineLevel="1">
      <c r="B64" s="28" t="s">
        <v>49</v>
      </c>
      <c r="C64" s="21"/>
      <c r="D64" s="21"/>
      <c r="E64" s="22"/>
      <c r="F64" s="22"/>
      <c r="G64" s="22"/>
      <c r="H64" s="21"/>
      <c r="I64" s="21"/>
      <c r="J64" s="21"/>
      <c r="K64" s="21"/>
      <c r="L64" s="21"/>
    </row>
    <row r="65" spans="2:12" outlineLevel="1">
      <c r="B65" s="21" t="s">
        <v>50</v>
      </c>
      <c r="C65" s="21"/>
      <c r="D65" s="21"/>
      <c r="E65" s="22"/>
      <c r="F65" s="22"/>
      <c r="G65" s="22"/>
      <c r="H65" s="21">
        <v>239.1</v>
      </c>
      <c r="I65" s="21">
        <v>239.1</v>
      </c>
      <c r="J65" s="21">
        <v>239.1</v>
      </c>
      <c r="K65" s="23">
        <v>239.1</v>
      </c>
      <c r="L65" s="21">
        <v>239.1</v>
      </c>
    </row>
    <row r="66" spans="2:12" outlineLevel="1">
      <c r="B66" s="21" t="s">
        <v>51</v>
      </c>
      <c r="C66" s="21"/>
      <c r="D66" s="21"/>
      <c r="E66" s="22"/>
      <c r="F66" s="22"/>
      <c r="G66" s="22"/>
      <c r="H66" s="23">
        <v>73528.2</v>
      </c>
      <c r="I66" s="23">
        <v>86139.9</v>
      </c>
      <c r="J66" s="23">
        <v>90213.8</v>
      </c>
      <c r="K66" s="23">
        <v>102881.5</v>
      </c>
      <c r="L66" s="23">
        <v>119609.60000000001</v>
      </c>
    </row>
    <row r="67" spans="2:12" outlineLevel="1">
      <c r="B67" s="21" t="s">
        <v>52</v>
      </c>
      <c r="C67" s="21"/>
      <c r="D67" s="21"/>
      <c r="E67" s="22"/>
      <c r="F67" s="22"/>
      <c r="G67" s="22"/>
      <c r="H67" s="23">
        <v>73767.3</v>
      </c>
      <c r="I67" s="23">
        <v>86379</v>
      </c>
      <c r="J67" s="23">
        <v>90452.9</v>
      </c>
      <c r="K67" s="23">
        <v>103120.6</v>
      </c>
      <c r="L67" s="23">
        <v>119848.7</v>
      </c>
    </row>
    <row r="68" spans="2:12" outlineLevel="1">
      <c r="B68" s="21" t="s">
        <v>53</v>
      </c>
      <c r="C68" s="21"/>
      <c r="D68" s="21"/>
      <c r="E68" s="22"/>
      <c r="F68" s="22"/>
      <c r="G68" s="22"/>
      <c r="H68" s="23">
        <v>1812.8</v>
      </c>
      <c r="I68" s="23">
        <v>2094.3000000000002</v>
      </c>
      <c r="J68" s="23">
        <v>3897.1</v>
      </c>
      <c r="K68" s="23">
        <v>4023.4</v>
      </c>
      <c r="L68" s="23">
        <v>4487.6000000000004</v>
      </c>
    </row>
    <row r="69" spans="2:12" outlineLevel="1">
      <c r="B69" s="28" t="s">
        <v>54</v>
      </c>
      <c r="C69" s="28"/>
      <c r="D69" s="28"/>
      <c r="E69" s="30"/>
      <c r="F69" s="30"/>
      <c r="G69" s="30"/>
      <c r="H69" s="15">
        <f>H67+H68</f>
        <v>75580.100000000006</v>
      </c>
      <c r="I69" s="15">
        <f>I67+I68</f>
        <v>88473.3</v>
      </c>
      <c r="J69" s="15">
        <f>J67+J68</f>
        <v>94350</v>
      </c>
      <c r="K69" s="15">
        <f>K67+K68</f>
        <v>107144</v>
      </c>
      <c r="L69" s="15">
        <f>L67+L68</f>
        <v>124336.3</v>
      </c>
    </row>
    <row r="70" spans="2:12" ht="2.25" customHeight="1" outlineLevel="1">
      <c r="B70" s="37"/>
      <c r="C70" s="37"/>
      <c r="D70" s="37"/>
      <c r="E70" s="38"/>
      <c r="F70" s="38"/>
      <c r="G70" s="38"/>
      <c r="H70" s="37"/>
      <c r="I70" s="37"/>
      <c r="J70" s="37"/>
      <c r="K70" s="37">
        <v>101.7</v>
      </c>
      <c r="L70" s="39"/>
    </row>
    <row r="71" spans="2:12" outlineLevel="1">
      <c r="B71" s="34" t="s">
        <v>55</v>
      </c>
      <c r="C71" s="35"/>
      <c r="D71" s="35"/>
      <c r="E71" s="36"/>
      <c r="F71" s="36"/>
      <c r="G71" s="36"/>
      <c r="H71" s="35"/>
      <c r="I71" s="35"/>
      <c r="J71" s="35"/>
      <c r="K71" s="35"/>
      <c r="L71" s="35"/>
    </row>
    <row r="72" spans="2:12" outlineLevel="1">
      <c r="B72" s="21" t="s">
        <v>56</v>
      </c>
      <c r="C72" s="21"/>
      <c r="D72" s="21"/>
      <c r="E72" s="22"/>
      <c r="F72" s="22"/>
      <c r="G72" s="22"/>
      <c r="H72" s="21"/>
      <c r="I72" s="21"/>
      <c r="J72" s="21"/>
      <c r="K72" s="21"/>
      <c r="L72" s="21"/>
    </row>
    <row r="73" spans="2:12" outlineLevel="1">
      <c r="B73" s="21" t="s">
        <v>57</v>
      </c>
      <c r="C73" s="21"/>
      <c r="D73" s="21"/>
      <c r="E73" s="22"/>
      <c r="F73" s="22"/>
      <c r="G73" s="22"/>
      <c r="H73" s="21"/>
      <c r="I73" s="21"/>
      <c r="J73" s="21"/>
      <c r="K73" s="21"/>
      <c r="L73" s="21"/>
    </row>
    <row r="74" spans="2:12" outlineLevel="1">
      <c r="B74" s="21" t="s">
        <v>58</v>
      </c>
      <c r="C74" s="21"/>
      <c r="D74" s="21"/>
      <c r="E74" s="22"/>
      <c r="F74" s="22"/>
      <c r="G74" s="22"/>
      <c r="H74" s="21">
        <v>279.3</v>
      </c>
      <c r="I74" s="21">
        <v>93.8</v>
      </c>
      <c r="J74" s="21">
        <v>0</v>
      </c>
      <c r="K74" s="21">
        <v>400</v>
      </c>
      <c r="L74" s="23">
        <v>3109.1</v>
      </c>
    </row>
    <row r="75" spans="2:12" outlineLevel="1">
      <c r="B75" s="21" t="s">
        <v>59</v>
      </c>
      <c r="C75" s="21"/>
      <c r="D75" s="21"/>
      <c r="E75" s="22"/>
      <c r="F75" s="22"/>
      <c r="G75" s="22"/>
      <c r="H75" s="21">
        <v>697.1</v>
      </c>
      <c r="I75" s="21">
        <v>664.7</v>
      </c>
      <c r="J75" s="21">
        <v>703.3</v>
      </c>
      <c r="K75" s="23">
        <v>1892.6</v>
      </c>
      <c r="L75" s="23">
        <v>2674.2</v>
      </c>
    </row>
    <row r="76" spans="2:12" outlineLevel="1">
      <c r="B76" s="21" t="s">
        <v>60</v>
      </c>
      <c r="C76" s="21"/>
      <c r="D76" s="21"/>
      <c r="E76" s="22"/>
      <c r="F76" s="22"/>
      <c r="G76" s="22"/>
      <c r="H76" s="23">
        <v>0</v>
      </c>
      <c r="I76" s="21">
        <v>0</v>
      </c>
      <c r="J76" s="23">
        <v>1660.1</v>
      </c>
      <c r="K76" s="23">
        <v>3109.9</v>
      </c>
      <c r="L76" s="23">
        <v>3539.9</v>
      </c>
    </row>
    <row r="77" spans="2:12" outlineLevel="1">
      <c r="B77" s="21" t="s">
        <v>61</v>
      </c>
      <c r="C77" s="21"/>
      <c r="D77" s="21"/>
      <c r="E77" s="22"/>
      <c r="F77" s="22"/>
      <c r="G77" s="22"/>
      <c r="H77" s="23">
        <v>2507.3000000000002</v>
      </c>
      <c r="I77" s="23">
        <v>3327.5</v>
      </c>
      <c r="J77" s="23">
        <v>3693.6</v>
      </c>
      <c r="K77" s="23">
        <v>2998.6</v>
      </c>
      <c r="L77" s="23">
        <v>3382.2</v>
      </c>
    </row>
    <row r="78" spans="2:12" outlineLevel="1">
      <c r="B78" s="21" t="s">
        <v>62</v>
      </c>
      <c r="C78" s="21"/>
      <c r="D78" s="21"/>
      <c r="E78" s="22"/>
      <c r="F78" s="22"/>
      <c r="G78" s="22"/>
      <c r="H78" s="23">
        <v>88.3</v>
      </c>
      <c r="I78" s="21">
        <v>79.2</v>
      </c>
      <c r="J78" s="21">
        <v>88</v>
      </c>
      <c r="K78" s="21">
        <v>258.39999999999998</v>
      </c>
      <c r="L78" s="21">
        <v>219.5</v>
      </c>
    </row>
    <row r="79" spans="2:12" outlineLevel="1">
      <c r="B79" s="31" t="s">
        <v>63</v>
      </c>
      <c r="C79" s="31"/>
      <c r="D79" s="31"/>
      <c r="E79" s="32"/>
      <c r="F79" s="32"/>
      <c r="G79" s="32"/>
      <c r="H79" s="33">
        <f>SUM(H74:H78)</f>
        <v>3572.0000000000005</v>
      </c>
      <c r="I79" s="33">
        <f>SUM(I74:I78)</f>
        <v>4165.2</v>
      </c>
      <c r="J79" s="33">
        <f>SUM(J74:J78)</f>
        <v>6145</v>
      </c>
      <c r="K79" s="33">
        <f>SUM(K74:K78)</f>
        <v>8659.5</v>
      </c>
      <c r="L79" s="33">
        <f>SUM(L74:L78)</f>
        <v>12924.899999999998</v>
      </c>
    </row>
    <row r="80" spans="2:12" outlineLevel="1"/>
    <row r="81" spans="2:12" outlineLevel="1">
      <c r="B81" s="1" t="s">
        <v>64</v>
      </c>
      <c r="C81" s="8"/>
    </row>
    <row r="82" spans="2:12" outlineLevel="1">
      <c r="B82" s="21" t="s">
        <v>57</v>
      </c>
      <c r="C82" s="21"/>
      <c r="D82" s="22"/>
      <c r="E82" s="22"/>
      <c r="F82" s="22"/>
      <c r="G82" s="21"/>
      <c r="H82" s="21"/>
      <c r="I82" s="21"/>
      <c r="J82" s="21"/>
      <c r="K82" s="23"/>
      <c r="L82" s="21"/>
    </row>
    <row r="83" spans="2:12" outlineLevel="1">
      <c r="B83" s="21"/>
      <c r="C83" s="21" t="s">
        <v>58</v>
      </c>
      <c r="D83" s="22"/>
      <c r="E83" s="22"/>
      <c r="F83" s="22"/>
      <c r="G83" s="21"/>
      <c r="H83" s="23">
        <v>16727.900000000001</v>
      </c>
      <c r="I83" s="23">
        <v>25707.4</v>
      </c>
      <c r="J83" s="23">
        <v>13071.5</v>
      </c>
      <c r="K83" s="23">
        <v>11739.7</v>
      </c>
      <c r="L83" s="23">
        <v>7518.8</v>
      </c>
    </row>
    <row r="84" spans="2:12" outlineLevel="1">
      <c r="B84" s="21"/>
      <c r="C84" s="21" t="s">
        <v>59</v>
      </c>
      <c r="D84" s="22"/>
      <c r="E84" s="22"/>
      <c r="F84" s="22"/>
      <c r="G84" s="21"/>
      <c r="H84" s="21">
        <v>215.5</v>
      </c>
      <c r="I84" s="21">
        <v>216</v>
      </c>
      <c r="J84" s="21">
        <v>192</v>
      </c>
      <c r="K84" s="23">
        <v>151.80000000000001</v>
      </c>
      <c r="L84" s="21">
        <v>506.9</v>
      </c>
    </row>
    <row r="85" spans="2:12" outlineLevel="1">
      <c r="B85" s="21"/>
      <c r="C85" s="21" t="s">
        <v>65</v>
      </c>
      <c r="D85" s="22"/>
      <c r="E85" s="22"/>
      <c r="F85" s="22"/>
      <c r="G85" s="21"/>
      <c r="H85" s="21"/>
      <c r="J85" s="21"/>
      <c r="K85" s="23"/>
      <c r="L85" s="21"/>
    </row>
    <row r="86" spans="2:12" outlineLevel="1">
      <c r="B86" s="21" t="s">
        <v>66</v>
      </c>
      <c r="C86" s="21"/>
      <c r="D86" s="22"/>
      <c r="E86" s="22"/>
      <c r="F86" s="22"/>
      <c r="G86" s="21"/>
      <c r="H86" s="23">
        <v>1189.5999999999999</v>
      </c>
      <c r="I86" s="21">
        <v>924.2</v>
      </c>
      <c r="J86" s="23">
        <v>1104.5999999999999</v>
      </c>
      <c r="K86" s="23">
        <v>670</v>
      </c>
      <c r="L86" s="21">
        <v>879.8</v>
      </c>
    </row>
    <row r="87" spans="2:12" outlineLevel="1">
      <c r="B87" s="21" t="s">
        <v>67</v>
      </c>
      <c r="C87" s="21"/>
      <c r="D87" s="22"/>
      <c r="E87" s="22"/>
      <c r="F87" s="22"/>
      <c r="G87" s="21"/>
      <c r="H87" s="23">
        <v>9504.5</v>
      </c>
      <c r="I87" s="23">
        <v>10809.6</v>
      </c>
      <c r="J87" s="23">
        <v>10545.7</v>
      </c>
      <c r="K87" s="23">
        <v>16811.2</v>
      </c>
      <c r="L87" s="23">
        <v>17513.7</v>
      </c>
    </row>
    <row r="88" spans="2:12" outlineLevel="1">
      <c r="B88" s="21"/>
      <c r="C88" s="21" t="s">
        <v>68</v>
      </c>
      <c r="D88" s="22"/>
      <c r="E88" s="22"/>
      <c r="F88" s="22"/>
      <c r="G88" s="21"/>
      <c r="H88" s="23">
        <v>4653.8999999999996</v>
      </c>
      <c r="I88" s="23">
        <v>5993.8</v>
      </c>
      <c r="J88" s="23">
        <v>6326.9</v>
      </c>
      <c r="K88" s="23">
        <v>6457.7</v>
      </c>
      <c r="L88" s="23">
        <v>7908.6</v>
      </c>
    </row>
    <row r="89" spans="2:12" outlineLevel="1">
      <c r="B89" s="21" t="s">
        <v>69</v>
      </c>
      <c r="C89" s="21"/>
      <c r="D89" s="22"/>
      <c r="E89" s="22"/>
      <c r="F89" s="22"/>
      <c r="G89" s="21"/>
      <c r="H89" s="23">
        <v>1193.4000000000001</v>
      </c>
      <c r="I89" s="23">
        <v>1503.2</v>
      </c>
      <c r="J89" s="23">
        <v>1868.9</v>
      </c>
      <c r="K89" s="23">
        <v>2296.5</v>
      </c>
      <c r="L89" s="23">
        <v>3057</v>
      </c>
    </row>
    <row r="90" spans="2:12" outlineLevel="1">
      <c r="B90" s="21" t="s">
        <v>70</v>
      </c>
      <c r="C90" s="21"/>
      <c r="D90" s="22"/>
      <c r="E90" s="22"/>
      <c r="F90" s="22"/>
      <c r="G90" s="21"/>
      <c r="H90" s="23">
        <v>2366.4</v>
      </c>
      <c r="I90" s="23">
        <v>2736</v>
      </c>
      <c r="J90" s="23">
        <v>3727.5</v>
      </c>
      <c r="K90" s="23">
        <v>1268.7</v>
      </c>
      <c r="L90" s="23">
        <v>1591.1</v>
      </c>
    </row>
    <row r="91" spans="2:12" outlineLevel="1">
      <c r="B91" s="21" t="s">
        <v>71</v>
      </c>
      <c r="C91" s="21"/>
      <c r="D91" s="22"/>
      <c r="E91" s="22"/>
      <c r="F91" s="22"/>
      <c r="G91" s="21"/>
      <c r="H91" s="21">
        <v>189.3</v>
      </c>
      <c r="I91" s="21">
        <v>163.19999999999999</v>
      </c>
      <c r="J91" s="21">
        <v>234.4</v>
      </c>
      <c r="K91" s="23">
        <v>549.9</v>
      </c>
      <c r="L91" s="21">
        <v>611</v>
      </c>
    </row>
    <row r="92" spans="2:12" outlineLevel="1">
      <c r="B92" s="21" t="s">
        <v>72</v>
      </c>
      <c r="C92" s="21"/>
      <c r="D92" s="22"/>
      <c r="E92" s="22"/>
      <c r="F92" s="22"/>
      <c r="G92" s="21"/>
      <c r="H92" s="23">
        <f>SUM(H83:H91)</f>
        <v>36040.500000000007</v>
      </c>
      <c r="I92" s="23">
        <f>SUM(I83:I91)</f>
        <v>48053.4</v>
      </c>
      <c r="J92" s="23">
        <f>SUM(J83:J91)</f>
        <v>37071.500000000007</v>
      </c>
      <c r="K92" s="23">
        <f>SUM(K83:K91)</f>
        <v>39945.5</v>
      </c>
      <c r="L92" s="23">
        <f>SUM(L83:L91)</f>
        <v>39586.9</v>
      </c>
    </row>
    <row r="93" spans="2:12" outlineLevel="1">
      <c r="B93" s="21" t="s">
        <v>73</v>
      </c>
      <c r="C93" s="21"/>
      <c r="D93" s="22"/>
      <c r="E93" s="22"/>
      <c r="F93" s="22"/>
      <c r="G93" s="21"/>
      <c r="H93" s="21">
        <v>0</v>
      </c>
      <c r="I93" s="21">
        <v>0</v>
      </c>
      <c r="J93" s="21">
        <v>0</v>
      </c>
      <c r="K93" s="23">
        <v>0</v>
      </c>
      <c r="L93" s="21">
        <v>62.9</v>
      </c>
    </row>
    <row r="94" spans="2:12" outlineLevel="1">
      <c r="B94" s="28" t="s">
        <v>74</v>
      </c>
      <c r="C94" s="21"/>
      <c r="D94" s="22"/>
      <c r="E94" s="22"/>
      <c r="F94" s="22"/>
      <c r="G94" s="21"/>
      <c r="H94" s="12">
        <f>H92+H79+H93</f>
        <v>39612.500000000007</v>
      </c>
      <c r="I94" s="12">
        <f>I92+I79+I93</f>
        <v>52218.6</v>
      </c>
      <c r="J94" s="12">
        <f>J92+J79+J93</f>
        <v>43216.500000000007</v>
      </c>
      <c r="K94" s="12">
        <f>K92+K79+K93</f>
        <v>48605</v>
      </c>
      <c r="L94" s="12">
        <f>L92+L79+L93</f>
        <v>52574.700000000004</v>
      </c>
    </row>
    <row r="95" spans="2:12" outlineLevel="1">
      <c r="B95" s="28" t="s">
        <v>75</v>
      </c>
      <c r="C95" s="21"/>
      <c r="D95" s="22"/>
      <c r="E95" s="22"/>
      <c r="F95" s="22"/>
      <c r="G95" s="21"/>
      <c r="H95" s="29">
        <f>H94+H69</f>
        <v>115192.6</v>
      </c>
      <c r="I95" s="29">
        <f>I94+I69</f>
        <v>140691.9</v>
      </c>
      <c r="J95" s="29">
        <f>J94+J69</f>
        <v>137566.5</v>
      </c>
      <c r="K95" s="29">
        <f>K94+K69</f>
        <v>155749</v>
      </c>
      <c r="L95" s="29">
        <f>L94+L69</f>
        <v>176911</v>
      </c>
    </row>
    <row r="97" spans="2:12" ht="26.25">
      <c r="B97" s="2" t="s">
        <v>136</v>
      </c>
      <c r="C97" s="8"/>
      <c r="D97" s="8"/>
      <c r="H97" s="11"/>
      <c r="I97" s="11"/>
      <c r="J97" s="11"/>
    </row>
    <row r="98" spans="2:12" ht="18.75">
      <c r="B98" s="16" t="s">
        <v>34</v>
      </c>
      <c r="C98" s="16"/>
      <c r="D98" s="10"/>
      <c r="E98" s="10"/>
      <c r="F98" s="10"/>
      <c r="G98" s="10"/>
      <c r="H98" s="18">
        <v>2021</v>
      </c>
      <c r="I98" s="18">
        <f>H98+1</f>
        <v>2022</v>
      </c>
      <c r="J98" s="18">
        <f t="shared" ref="J98" si="7">I98+1</f>
        <v>2023</v>
      </c>
      <c r="K98" s="18">
        <f t="shared" ref="K98" si="8">J98+1</f>
        <v>2024</v>
      </c>
      <c r="L98" s="18">
        <f t="shared" ref="L98" si="9">K98+1</f>
        <v>2025</v>
      </c>
    </row>
    <row r="99" spans="2:12">
      <c r="B99" s="8" t="s">
        <v>137</v>
      </c>
      <c r="C99" s="8"/>
    </row>
    <row r="100" spans="2:12">
      <c r="B100" s="8" t="s">
        <v>138</v>
      </c>
      <c r="C100" s="8"/>
      <c r="H100" s="58">
        <v>18421</v>
      </c>
      <c r="I100" s="58">
        <v>18442.8</v>
      </c>
      <c r="J100" s="8">
        <v>13047</v>
      </c>
      <c r="K100" s="8">
        <v>20231.3</v>
      </c>
      <c r="L100" s="11">
        <v>25270.3</v>
      </c>
    </row>
    <row r="101" spans="2:12">
      <c r="B101" s="8" t="s">
        <v>139</v>
      </c>
      <c r="C101" s="8"/>
      <c r="H101" s="58"/>
    </row>
    <row r="102" spans="2:12">
      <c r="B102" s="8" t="s">
        <v>105</v>
      </c>
      <c r="C102" s="8"/>
      <c r="H102" s="58">
        <v>2745.8</v>
      </c>
      <c r="I102" s="58">
        <v>3039.6</v>
      </c>
      <c r="J102" s="58">
        <v>3104.2</v>
      </c>
      <c r="K102" s="58">
        <v>2993</v>
      </c>
      <c r="L102" s="58">
        <v>3571.6</v>
      </c>
    </row>
    <row r="103" spans="2:12">
      <c r="B103" s="8" t="s">
        <v>140</v>
      </c>
      <c r="C103" s="8"/>
      <c r="H103" s="58">
        <v>0</v>
      </c>
      <c r="I103" s="58">
        <v>-160.1</v>
      </c>
      <c r="J103" s="58">
        <v>-17.5</v>
      </c>
      <c r="K103" s="58">
        <v>-19.8</v>
      </c>
      <c r="L103" s="58">
        <v>-155.1</v>
      </c>
    </row>
    <row r="104" spans="2:12">
      <c r="B104" s="8" t="s">
        <v>141</v>
      </c>
      <c r="C104" s="8"/>
      <c r="H104" s="58">
        <v>-102.6</v>
      </c>
      <c r="I104" s="58">
        <v>-33.799999999999997</v>
      </c>
      <c r="J104" s="58">
        <v>-21.6</v>
      </c>
      <c r="K104" s="58">
        <v>-146.30000000000001</v>
      </c>
      <c r="L104" s="58">
        <v>-110.2</v>
      </c>
    </row>
    <row r="105" spans="2:12">
      <c r="B105" s="8" t="s">
        <v>142</v>
      </c>
      <c r="C105" s="8"/>
      <c r="H105" s="58">
        <v>-266.89999999999998</v>
      </c>
      <c r="I105" s="58">
        <v>69</v>
      </c>
      <c r="J105" s="58">
        <v>-287</v>
      </c>
      <c r="K105" s="58">
        <v>-5.4</v>
      </c>
      <c r="L105" s="58">
        <v>-418.7</v>
      </c>
    </row>
    <row r="106" spans="2:12">
      <c r="B106" s="8" t="s">
        <v>143</v>
      </c>
      <c r="C106" s="8"/>
      <c r="H106" s="58">
        <v>-37</v>
      </c>
      <c r="I106" s="58">
        <v>14.3</v>
      </c>
      <c r="J106" s="58">
        <v>123.6</v>
      </c>
      <c r="K106" s="58">
        <v>31.8</v>
      </c>
      <c r="L106" s="58">
        <v>-46</v>
      </c>
    </row>
    <row r="107" spans="2:12">
      <c r="B107" s="8" t="s">
        <v>144</v>
      </c>
      <c r="C107" s="8"/>
      <c r="H107" s="58">
        <v>1.1000000000000001</v>
      </c>
      <c r="I107" s="58">
        <v>0</v>
      </c>
      <c r="J107" s="58">
        <v>0</v>
      </c>
      <c r="K107" s="58">
        <v>189.4</v>
      </c>
      <c r="L107" s="58">
        <v>166.1</v>
      </c>
    </row>
    <row r="108" spans="2:12">
      <c r="B108" s="8" t="s">
        <v>145</v>
      </c>
      <c r="C108" s="8"/>
      <c r="H108" s="58">
        <v>-114.9</v>
      </c>
      <c r="I108" s="58">
        <v>0</v>
      </c>
      <c r="J108" s="58">
        <v>0</v>
      </c>
      <c r="K108" s="58">
        <v>0</v>
      </c>
      <c r="L108" s="8">
        <v>0</v>
      </c>
    </row>
    <row r="109" spans="2:12">
      <c r="B109" s="8" t="s">
        <v>146</v>
      </c>
      <c r="C109" s="8"/>
      <c r="H109" s="58">
        <v>9.6999999999999993</v>
      </c>
      <c r="I109" s="58">
        <v>-177</v>
      </c>
      <c r="J109" s="58">
        <v>-118.8</v>
      </c>
      <c r="K109" s="58">
        <v>594.29999999999995</v>
      </c>
      <c r="L109" s="58">
        <v>111.6</v>
      </c>
    </row>
    <row r="110" spans="2:12">
      <c r="B110" s="8" t="s">
        <v>147</v>
      </c>
      <c r="C110" s="8"/>
      <c r="H110" s="58">
        <v>-0.2</v>
      </c>
      <c r="I110" s="58">
        <v>-1.9</v>
      </c>
      <c r="J110" s="58">
        <v>-1.9</v>
      </c>
      <c r="K110" s="58">
        <v>-1.9</v>
      </c>
      <c r="L110" s="58">
        <v>-1.7</v>
      </c>
    </row>
    <row r="111" spans="2:12">
      <c r="B111" s="8" t="s">
        <v>148</v>
      </c>
      <c r="C111" s="8"/>
      <c r="H111" s="58">
        <v>-351</v>
      </c>
      <c r="I111" s="58">
        <v>0</v>
      </c>
      <c r="J111" s="58">
        <v>0</v>
      </c>
      <c r="K111" s="58">
        <v>0</v>
      </c>
      <c r="L111" s="8">
        <v>0</v>
      </c>
    </row>
    <row r="112" spans="2:12">
      <c r="B112" s="8" t="s">
        <v>149</v>
      </c>
      <c r="C112" s="8"/>
      <c r="H112" s="58">
        <v>0</v>
      </c>
      <c r="I112" s="58">
        <v>11.2</v>
      </c>
      <c r="J112" s="58">
        <v>1051.5</v>
      </c>
      <c r="K112" s="58">
        <v>992.2</v>
      </c>
      <c r="L112" s="58">
        <v>-3587.8</v>
      </c>
    </row>
    <row r="113" spans="2:12">
      <c r="B113" s="8" t="s">
        <v>150</v>
      </c>
      <c r="C113" s="8"/>
      <c r="H113" s="58">
        <v>-901.2</v>
      </c>
      <c r="I113" s="58">
        <v>-1226.8</v>
      </c>
      <c r="J113" s="58">
        <v>-1711.4</v>
      </c>
      <c r="K113" s="58">
        <v>-2757.7</v>
      </c>
      <c r="L113" s="58">
        <v>137.30000000000001</v>
      </c>
    </row>
    <row r="114" spans="2:12">
      <c r="B114" s="8" t="s">
        <v>151</v>
      </c>
      <c r="C114" s="8"/>
      <c r="H114" s="58">
        <v>589.20000000000005</v>
      </c>
      <c r="I114" s="58">
        <v>523.70000000000005</v>
      </c>
      <c r="J114" s="58">
        <v>1073.5999999999999</v>
      </c>
      <c r="K114" s="58">
        <v>1124.0999999999999</v>
      </c>
      <c r="L114" s="58">
        <v>1217</v>
      </c>
    </row>
    <row r="115" spans="2:12">
      <c r="B115" s="8" t="s">
        <v>152</v>
      </c>
      <c r="C115" s="8"/>
      <c r="H115" s="58">
        <v>82.8</v>
      </c>
      <c r="I115" s="58">
        <v>27.8</v>
      </c>
      <c r="J115" s="58">
        <v>48.8</v>
      </c>
      <c r="K115" s="58">
        <v>318</v>
      </c>
      <c r="L115" s="58">
        <v>20.2</v>
      </c>
    </row>
    <row r="116" spans="2:12">
      <c r="B116" s="8" t="s">
        <v>153</v>
      </c>
      <c r="C116" s="8"/>
      <c r="H116" s="58">
        <v>-8.4</v>
      </c>
      <c r="I116" s="58">
        <v>0</v>
      </c>
      <c r="J116" s="58">
        <v>0</v>
      </c>
      <c r="K116" s="58">
        <v>0</v>
      </c>
      <c r="L116" s="58">
        <v>0</v>
      </c>
    </row>
    <row r="117" spans="2:12">
      <c r="B117" s="8" t="s">
        <v>187</v>
      </c>
      <c r="C117" s="8"/>
      <c r="H117" s="58">
        <v>0</v>
      </c>
      <c r="I117" s="58">
        <v>0</v>
      </c>
      <c r="J117" s="58">
        <v>0</v>
      </c>
      <c r="K117" s="58">
        <v>524</v>
      </c>
      <c r="L117" s="58">
        <v>133.69999999999999</v>
      </c>
    </row>
    <row r="118" spans="2:12">
      <c r="B118" s="55" t="s">
        <v>154</v>
      </c>
      <c r="C118" s="55"/>
      <c r="D118" s="54"/>
      <c r="E118" s="54"/>
      <c r="F118" s="54"/>
      <c r="G118" s="54"/>
      <c r="H118" s="60">
        <f>SUM(H102:H117)</f>
        <v>1646.3999999999999</v>
      </c>
      <c r="I118" s="60">
        <f>SUM(I102:I117)</f>
        <v>2086</v>
      </c>
      <c r="J118" s="60">
        <f>SUM(J102:J117)</f>
        <v>3243.4999999999995</v>
      </c>
      <c r="K118" s="60">
        <f>SUM(K102:K117)</f>
        <v>3835.7000000000003</v>
      </c>
      <c r="L118" s="60">
        <f>SUM(L102:L117)</f>
        <v>1038.0000000000002</v>
      </c>
    </row>
    <row r="119" spans="2:12">
      <c r="B119" s="8" t="s">
        <v>155</v>
      </c>
      <c r="C119" s="8"/>
      <c r="H119" s="58">
        <v>20067.400000000001</v>
      </c>
      <c r="I119" s="11">
        <v>20528.8</v>
      </c>
      <c r="J119" s="58">
        <v>16291</v>
      </c>
      <c r="K119" s="11">
        <v>24067</v>
      </c>
      <c r="L119" s="11">
        <v>26308.3</v>
      </c>
    </row>
    <row r="120" spans="2:12">
      <c r="B120" s="8" t="s">
        <v>156</v>
      </c>
      <c r="C120" s="8"/>
      <c r="H120" s="58"/>
      <c r="J120" s="58"/>
    </row>
    <row r="121" spans="2:12">
      <c r="B121" s="8" t="s">
        <v>157</v>
      </c>
      <c r="C121" s="8"/>
      <c r="H121" s="58">
        <v>-257.60000000000002</v>
      </c>
      <c r="I121" s="11">
        <v>-2217.5</v>
      </c>
      <c r="J121" s="58">
        <v>-1347.1</v>
      </c>
      <c r="K121" s="58">
        <v>-2219.9</v>
      </c>
      <c r="L121" s="58">
        <v>-2185.5</v>
      </c>
    </row>
    <row r="122" spans="2:12">
      <c r="B122" s="8" t="s">
        <v>158</v>
      </c>
      <c r="C122" s="8"/>
      <c r="H122" s="58">
        <v>-926.5</v>
      </c>
      <c r="I122" s="8">
        <v>-435.8</v>
      </c>
      <c r="J122" s="58">
        <v>-770.1</v>
      </c>
      <c r="K122" s="58">
        <v>-1351.1</v>
      </c>
      <c r="L122" s="58">
        <v>249.9</v>
      </c>
    </row>
    <row r="123" spans="2:12">
      <c r="B123" s="8" t="s">
        <v>159</v>
      </c>
      <c r="C123" s="8"/>
      <c r="H123" s="58">
        <v>-4977</v>
      </c>
      <c r="I123" s="11">
        <v>-6731.4</v>
      </c>
      <c r="J123" s="58">
        <v>4734.1000000000004</v>
      </c>
      <c r="K123" s="58">
        <v>-734</v>
      </c>
      <c r="L123" s="58">
        <v>-2612.3000000000002</v>
      </c>
    </row>
    <row r="124" spans="2:12">
      <c r="B124" s="8" t="s">
        <v>160</v>
      </c>
      <c r="C124" s="8"/>
      <c r="H124" s="58">
        <v>2124.1999999999998</v>
      </c>
      <c r="I124" s="11">
        <v>3344.9</v>
      </c>
      <c r="J124" s="58">
        <v>145.1</v>
      </c>
      <c r="K124" s="58">
        <v>5252.8</v>
      </c>
      <c r="L124" s="58">
        <v>2166.5</v>
      </c>
    </row>
    <row r="125" spans="2:12">
      <c r="B125" s="8" t="s">
        <v>161</v>
      </c>
      <c r="C125" s="8"/>
      <c r="H125" s="58">
        <v>625.29999999999995</v>
      </c>
      <c r="I125" s="8">
        <v>590.20000000000005</v>
      </c>
      <c r="J125" s="58">
        <v>505.7</v>
      </c>
      <c r="K125" s="58">
        <v>-1464.7</v>
      </c>
      <c r="L125" s="58">
        <v>241.7</v>
      </c>
    </row>
    <row r="126" spans="2:12">
      <c r="B126" s="55" t="s">
        <v>162</v>
      </c>
      <c r="C126" s="55"/>
      <c r="D126" s="54"/>
      <c r="E126" s="54"/>
      <c r="F126" s="54"/>
      <c r="G126" s="54"/>
      <c r="H126" s="60">
        <f>SUM(H121:H125)</f>
        <v>-3411.6000000000004</v>
      </c>
      <c r="I126" s="60">
        <f>SUM(I121:I125)</f>
        <v>-5449.6000000000013</v>
      </c>
      <c r="J126" s="60">
        <f>SUM(J121:J125)</f>
        <v>3267.7000000000003</v>
      </c>
      <c r="K126" s="60">
        <f>SUM(K121:K125)</f>
        <v>-516.89999999999986</v>
      </c>
      <c r="L126" s="60">
        <f>SUM(L121:L125)</f>
        <v>-2139.6999999999998</v>
      </c>
    </row>
    <row r="127" spans="2:12">
      <c r="B127" s="8" t="s">
        <v>163</v>
      </c>
      <c r="C127" s="8"/>
      <c r="H127" s="58">
        <v>16655.8</v>
      </c>
      <c r="I127" s="11">
        <v>15079.2</v>
      </c>
      <c r="J127" s="58">
        <v>19558.900000000001</v>
      </c>
      <c r="K127" s="58">
        <v>23550.1</v>
      </c>
      <c r="L127" s="58">
        <v>24168.6</v>
      </c>
    </row>
    <row r="128" spans="2:12">
      <c r="B128" s="8" t="s">
        <v>164</v>
      </c>
      <c r="C128" s="8"/>
      <c r="H128" s="58">
        <v>-4006.8</v>
      </c>
      <c r="I128" s="11">
        <v>-3969</v>
      </c>
      <c r="J128" s="58">
        <v>-2733.9</v>
      </c>
      <c r="K128" s="58">
        <v>-4069.4</v>
      </c>
      <c r="L128" s="58">
        <v>-5040.2</v>
      </c>
    </row>
    <row r="129" spans="2:17">
      <c r="B129" s="13" t="s">
        <v>165</v>
      </c>
      <c r="C129" s="13"/>
      <c r="D129" s="14"/>
      <c r="E129" s="14"/>
      <c r="F129" s="14"/>
      <c r="G129" s="14"/>
      <c r="H129" s="78">
        <f>SUM(H127:H128)</f>
        <v>12649</v>
      </c>
      <c r="I129" s="78">
        <f>SUM(I127:I128)</f>
        <v>11110.2</v>
      </c>
      <c r="J129" s="78">
        <f>SUM(J127:J128)</f>
        <v>16825</v>
      </c>
      <c r="K129" s="78">
        <f>SUM(K127:K128)</f>
        <v>19480.699999999997</v>
      </c>
      <c r="L129" s="78">
        <f>SUM(L127:L128)</f>
        <v>19128.399999999998</v>
      </c>
    </row>
    <row r="131" spans="2:17">
      <c r="B131" s="1" t="s">
        <v>166</v>
      </c>
      <c r="C131" s="1"/>
      <c r="D131" s="3"/>
      <c r="E131" s="3"/>
      <c r="F131" s="3"/>
      <c r="G131" s="3"/>
      <c r="H131" s="1"/>
    </row>
    <row r="132" spans="2:17">
      <c r="B132" s="8" t="s">
        <v>167</v>
      </c>
      <c r="C132" s="8"/>
      <c r="H132" s="58">
        <v>-1949.1</v>
      </c>
      <c r="I132" s="58">
        <v>-3388.8</v>
      </c>
      <c r="J132" s="58">
        <v>-2329.1</v>
      </c>
      <c r="K132" s="58">
        <v>-2592.9</v>
      </c>
      <c r="L132" s="58">
        <v>-6756.2</v>
      </c>
    </row>
    <row r="133" spans="2:17">
      <c r="B133" s="8" t="s">
        <v>188</v>
      </c>
      <c r="C133" s="8"/>
      <c r="H133" s="58">
        <v>0</v>
      </c>
      <c r="I133" s="58">
        <v>0</v>
      </c>
      <c r="J133" s="58">
        <v>0</v>
      </c>
      <c r="K133" s="58">
        <v>724.8</v>
      </c>
      <c r="L133" s="58">
        <v>408.4</v>
      </c>
    </row>
    <row r="134" spans="2:17">
      <c r="B134" s="8" t="s">
        <v>168</v>
      </c>
      <c r="C134" s="8"/>
      <c r="H134" s="58">
        <v>104.6</v>
      </c>
      <c r="I134" s="58">
        <v>109</v>
      </c>
      <c r="J134" s="58">
        <v>32</v>
      </c>
      <c r="K134" s="8">
        <v>0</v>
      </c>
      <c r="L134" s="58">
        <v>0</v>
      </c>
    </row>
    <row r="135" spans="2:17">
      <c r="B135" s="8" t="s">
        <v>169</v>
      </c>
      <c r="C135" s="8"/>
      <c r="H135" s="58">
        <v>-348.3</v>
      </c>
      <c r="I135" s="58">
        <v>-409.3</v>
      </c>
      <c r="J135" s="58">
        <v>-2175.3000000000002</v>
      </c>
      <c r="K135" s="58">
        <v>0</v>
      </c>
      <c r="L135" s="58">
        <v>0</v>
      </c>
      <c r="M135" s="58"/>
      <c r="N135" s="58"/>
      <c r="O135" s="58"/>
      <c r="P135" s="58"/>
      <c r="Q135" s="58"/>
    </row>
    <row r="136" spans="2:17">
      <c r="B136" s="8" t="s">
        <v>189</v>
      </c>
      <c r="C136" s="8"/>
      <c r="H136" s="58">
        <v>0</v>
      </c>
      <c r="I136" s="58">
        <v>0</v>
      </c>
      <c r="J136" s="58">
        <v>0</v>
      </c>
      <c r="K136" s="58">
        <v>24041.8</v>
      </c>
      <c r="L136" s="58">
        <v>40534.199999999997</v>
      </c>
      <c r="M136" s="11"/>
    </row>
    <row r="137" spans="2:17">
      <c r="B137" s="8" t="s">
        <v>148</v>
      </c>
      <c r="C137" s="8"/>
      <c r="H137" s="58">
        <v>351</v>
      </c>
      <c r="I137" s="58">
        <v>0</v>
      </c>
      <c r="J137" s="58">
        <v>0</v>
      </c>
      <c r="K137" s="58">
        <v>0</v>
      </c>
      <c r="L137" s="58">
        <v>0</v>
      </c>
      <c r="M137" s="11"/>
    </row>
    <row r="138" spans="2:17">
      <c r="B138" s="8" t="s">
        <v>190</v>
      </c>
      <c r="C138" s="8"/>
      <c r="H138" s="58">
        <v>0</v>
      </c>
      <c r="I138" s="58">
        <v>0</v>
      </c>
      <c r="J138" s="58">
        <v>0</v>
      </c>
      <c r="K138" s="58">
        <v>-533.70000000000005</v>
      </c>
      <c r="L138" s="58">
        <v>-19380.8</v>
      </c>
      <c r="M138" s="11"/>
    </row>
    <row r="139" spans="2:17">
      <c r="B139" s="8" t="s">
        <v>191</v>
      </c>
      <c r="C139" s="8"/>
      <c r="H139" s="58">
        <v>0</v>
      </c>
      <c r="I139" s="58">
        <v>0</v>
      </c>
      <c r="J139" s="58">
        <v>0</v>
      </c>
      <c r="K139" s="58">
        <v>2139.1</v>
      </c>
      <c r="L139" s="58">
        <v>6616.4</v>
      </c>
      <c r="M139" s="11"/>
    </row>
    <row r="140" spans="2:17">
      <c r="B140" s="8" t="s">
        <v>192</v>
      </c>
      <c r="C140" s="8"/>
      <c r="H140" s="58">
        <v>0</v>
      </c>
      <c r="I140" s="58">
        <v>0</v>
      </c>
      <c r="J140" s="58">
        <v>0</v>
      </c>
      <c r="K140" s="58">
        <v>0</v>
      </c>
      <c r="L140" s="58">
        <v>-330</v>
      </c>
    </row>
    <row r="141" spans="2:17">
      <c r="B141" s="8" t="s">
        <v>170</v>
      </c>
      <c r="C141" s="8"/>
      <c r="H141" s="58">
        <v>-8937.9</v>
      </c>
      <c r="I141" s="58">
        <v>-11641.8</v>
      </c>
      <c r="J141" s="58">
        <v>4129.8</v>
      </c>
      <c r="K141" s="58">
        <v>-36258.800000000003</v>
      </c>
      <c r="L141" s="58">
        <v>-37558.400000000001</v>
      </c>
    </row>
    <row r="142" spans="2:17">
      <c r="B142" s="8" t="s">
        <v>171</v>
      </c>
      <c r="C142" s="8"/>
      <c r="H142" s="58">
        <v>0.2</v>
      </c>
      <c r="I142" s="58">
        <v>1.9</v>
      </c>
      <c r="J142" s="58">
        <v>1.9</v>
      </c>
      <c r="K142" s="58">
        <v>1.9</v>
      </c>
      <c r="L142" s="58">
        <v>1.7</v>
      </c>
      <c r="M142" s="11"/>
    </row>
    <row r="143" spans="2:17">
      <c r="B143" s="8" t="s">
        <v>172</v>
      </c>
      <c r="C143" s="8"/>
      <c r="H143" s="58">
        <v>785.7</v>
      </c>
      <c r="I143" s="58">
        <v>977.7</v>
      </c>
      <c r="J143" s="58">
        <v>1469.1</v>
      </c>
      <c r="K143" s="58">
        <v>2392.6</v>
      </c>
      <c r="L143" s="58">
        <v>3477.1</v>
      </c>
    </row>
    <row r="144" spans="2:17">
      <c r="B144" s="8" t="s">
        <v>173</v>
      </c>
      <c r="C144" s="8"/>
      <c r="H144" s="58">
        <v>8.4</v>
      </c>
      <c r="I144" s="58">
        <v>0</v>
      </c>
      <c r="J144" s="58">
        <v>0</v>
      </c>
      <c r="K144" s="58">
        <v>0</v>
      </c>
      <c r="L144" s="58">
        <v>0</v>
      </c>
    </row>
    <row r="145" spans="2:12">
      <c r="B145" s="13" t="s">
        <v>174</v>
      </c>
      <c r="C145" s="13"/>
      <c r="D145" s="14"/>
      <c r="E145" s="14"/>
      <c r="F145" s="14"/>
      <c r="G145" s="14"/>
      <c r="H145" s="78">
        <f>SUM(H132:H144)</f>
        <v>-9985.4</v>
      </c>
      <c r="I145" s="78">
        <f>SUM(I132:I144)</f>
        <v>-14351.3</v>
      </c>
      <c r="J145" s="78">
        <f>SUM(J132:J144)</f>
        <v>1128.4000000000005</v>
      </c>
      <c r="K145" s="78">
        <f>SUM(K132:K144)</f>
        <v>-10085.200000000004</v>
      </c>
      <c r="L145" s="78">
        <f>SUM(L132:L144)</f>
        <v>-12987.600000000008</v>
      </c>
    </row>
    <row r="146" spans="2:12">
      <c r="K146" s="11"/>
    </row>
    <row r="147" spans="2:12">
      <c r="B147" s="1" t="s">
        <v>175</v>
      </c>
      <c r="C147" s="8"/>
    </row>
    <row r="148" spans="2:12">
      <c r="B148" s="8" t="s">
        <v>176</v>
      </c>
      <c r="C148" s="8"/>
      <c r="H148" s="58">
        <v>-387.4</v>
      </c>
      <c r="I148" s="58">
        <v>-192.9</v>
      </c>
      <c r="J148" s="58">
        <v>-95</v>
      </c>
      <c r="K148" s="58">
        <v>400</v>
      </c>
      <c r="L148" s="58">
        <v>2879</v>
      </c>
    </row>
    <row r="149" spans="2:12">
      <c r="B149" s="8" t="s">
        <v>177</v>
      </c>
      <c r="C149" s="8"/>
      <c r="H149" s="58">
        <v>1784.2</v>
      </c>
      <c r="I149" s="58">
        <v>8820.7000000000007</v>
      </c>
      <c r="J149" s="58">
        <v>-12689.8</v>
      </c>
      <c r="K149" s="58">
        <v>-5208.8999999999996</v>
      </c>
      <c r="L149" s="58">
        <v>-4820.1000000000004</v>
      </c>
    </row>
    <row r="150" spans="2:12">
      <c r="B150" s="8" t="s">
        <v>186</v>
      </c>
      <c r="C150" s="8"/>
      <c r="H150" s="58">
        <v>0</v>
      </c>
      <c r="I150" s="58">
        <v>0</v>
      </c>
      <c r="J150" s="58">
        <v>1614</v>
      </c>
      <c r="K150" s="58">
        <v>0</v>
      </c>
      <c r="L150" s="58">
        <v>0</v>
      </c>
    </row>
    <row r="151" spans="2:12">
      <c r="B151" s="8" t="s">
        <v>178</v>
      </c>
      <c r="C151" s="8"/>
      <c r="H151" s="58">
        <v>-3347.8</v>
      </c>
      <c r="I151" s="58">
        <v>-4219.2</v>
      </c>
      <c r="J151" s="58">
        <v>-5295.2</v>
      </c>
      <c r="K151" s="58">
        <v>-5404.9</v>
      </c>
      <c r="L151" s="58">
        <v>-5046.2</v>
      </c>
    </row>
    <row r="152" spans="2:12">
      <c r="B152" s="8" t="s">
        <v>179</v>
      </c>
      <c r="C152" s="8"/>
      <c r="H152" s="58">
        <v>-230.3</v>
      </c>
      <c r="I152" s="58">
        <v>-211.7</v>
      </c>
      <c r="J152" s="58">
        <v>-238.4</v>
      </c>
      <c r="K152" s="58">
        <v>-323.2</v>
      </c>
      <c r="L152" s="58">
        <v>-316.5</v>
      </c>
    </row>
    <row r="153" spans="2:12">
      <c r="B153" s="8" t="s">
        <v>180</v>
      </c>
      <c r="C153" s="8"/>
      <c r="H153" s="58">
        <v>-536.20000000000005</v>
      </c>
      <c r="I153" s="58">
        <v>-401.3</v>
      </c>
      <c r="J153" s="58">
        <v>-904.6</v>
      </c>
      <c r="K153" s="58">
        <v>-913.1</v>
      </c>
      <c r="L153" s="58">
        <v>-806.1</v>
      </c>
    </row>
    <row r="154" spans="2:12">
      <c r="B154" s="55" t="s">
        <v>181</v>
      </c>
      <c r="C154" s="55"/>
      <c r="D154" s="54"/>
      <c r="E154" s="54"/>
      <c r="F154" s="54"/>
      <c r="G154" s="54"/>
      <c r="H154" s="60">
        <f>SUM(H148:H153)</f>
        <v>-2717.5</v>
      </c>
      <c r="I154" s="60">
        <f>SUM(I148:I153)</f>
        <v>3795.6000000000013</v>
      </c>
      <c r="J154" s="60">
        <f>SUM(J148:J153)</f>
        <v>-17609</v>
      </c>
      <c r="K154" s="60">
        <f>SUM(K148:K153)</f>
        <v>-11450.1</v>
      </c>
      <c r="L154" s="60">
        <f>SUM(L148:L153)</f>
        <v>-8109.9000000000005</v>
      </c>
    </row>
    <row r="155" spans="2:12">
      <c r="B155" s="8" t="s">
        <v>182</v>
      </c>
      <c r="C155" s="8"/>
      <c r="H155" s="58">
        <v>-53.9</v>
      </c>
      <c r="I155" s="58">
        <v>554</v>
      </c>
      <c r="J155" s="8">
        <v>345.2</v>
      </c>
      <c r="K155" s="58">
        <v>-2054.4</v>
      </c>
      <c r="L155" s="58">
        <v>-1969.1</v>
      </c>
    </row>
    <row r="156" spans="2:12">
      <c r="B156" s="8" t="s">
        <v>183</v>
      </c>
      <c r="C156" s="8"/>
      <c r="H156" s="58">
        <v>1759.4</v>
      </c>
      <c r="I156" s="58">
        <v>1742</v>
      </c>
      <c r="J156" s="11">
        <v>2321.8000000000002</v>
      </c>
      <c r="K156" s="58">
        <v>2738</v>
      </c>
      <c r="L156" s="58">
        <v>663.1</v>
      </c>
    </row>
    <row r="157" spans="2:12">
      <c r="B157" s="8" t="s">
        <v>184</v>
      </c>
      <c r="C157" s="8"/>
      <c r="H157" s="58">
        <v>36.700000000000003</v>
      </c>
      <c r="I157" s="58">
        <v>25</v>
      </c>
      <c r="J157" s="8">
        <v>71</v>
      </c>
      <c r="K157" s="58">
        <v>-20.5</v>
      </c>
      <c r="L157" s="58">
        <v>105.1</v>
      </c>
    </row>
    <row r="158" spans="2:12">
      <c r="B158" s="8" t="s">
        <v>185</v>
      </c>
      <c r="C158" s="8"/>
      <c r="H158" s="58">
        <f>H155+H156+H157</f>
        <v>1742.2</v>
      </c>
      <c r="I158" s="58">
        <f>I155+I156+I157</f>
        <v>2321</v>
      </c>
      <c r="J158" s="58">
        <f>J155+J156+J157</f>
        <v>2738</v>
      </c>
      <c r="K158" s="58">
        <f>K155+K156+K157</f>
        <v>663.09999999999991</v>
      </c>
      <c r="L158" s="58">
        <f>L155+L156+L157</f>
        <v>-1200.9000000000001</v>
      </c>
    </row>
    <row r="161" spans="2:15" ht="20.25">
      <c r="B161" s="41" t="s">
        <v>76</v>
      </c>
      <c r="C161" s="10"/>
      <c r="D161" s="10"/>
      <c r="E161" s="10"/>
      <c r="F161" s="10"/>
      <c r="G161" s="10"/>
      <c r="H161" s="18">
        <v>2021</v>
      </c>
      <c r="I161" s="18">
        <f>H161+1</f>
        <v>2022</v>
      </c>
      <c r="J161" s="18">
        <f t="shared" ref="J161:L161" si="10">I161+1</f>
        <v>2023</v>
      </c>
      <c r="K161" s="18">
        <f t="shared" si="10"/>
        <v>2024</v>
      </c>
      <c r="L161" s="18">
        <f t="shared" si="10"/>
        <v>2025</v>
      </c>
      <c r="M161" s="8" t="s">
        <v>252</v>
      </c>
      <c r="N161" s="1" t="s">
        <v>253</v>
      </c>
    </row>
    <row r="162" spans="2:15">
      <c r="C162" t="s">
        <v>77</v>
      </c>
      <c r="H162" s="8">
        <v>58208.6</v>
      </c>
      <c r="I162" s="8">
        <v>75266.399999999994</v>
      </c>
      <c r="J162" s="8">
        <v>81599.7</v>
      </c>
      <c r="K162" s="11">
        <v>86620.2</v>
      </c>
      <c r="L162" s="42">
        <v>89837</v>
      </c>
      <c r="M162" s="98">
        <f>_xlfn.RRI(4,I162,L162)</f>
        <v>4.5233990047583106E-2</v>
      </c>
      <c r="N162" s="8">
        <f>L162*(1+M162)</f>
        <v>93900.685963904718</v>
      </c>
    </row>
    <row r="163" spans="2:15">
      <c r="C163" t="s">
        <v>78</v>
      </c>
      <c r="H163" s="8">
        <v>24665.5</v>
      </c>
      <c r="I163" s="8">
        <v>23290.7</v>
      </c>
      <c r="J163" s="8">
        <v>25133.5</v>
      </c>
      <c r="K163" s="11">
        <v>27709.3</v>
      </c>
      <c r="L163" s="42">
        <v>24818</v>
      </c>
      <c r="M163" s="98">
        <f t="shared" ref="M163:M164" si="11">_xlfn.RRI(4,I163,L163)</f>
        <v>1.6005501772939468E-2</v>
      </c>
      <c r="N163" s="8">
        <f t="shared" ref="N163:N164" si="12">L163*(1+M163)</f>
        <v>25215.224543000812</v>
      </c>
    </row>
    <row r="164" spans="2:15">
      <c r="C164" t="s">
        <v>79</v>
      </c>
      <c r="H164" s="8">
        <v>5776</v>
      </c>
      <c r="I164" s="8">
        <v>7784.8</v>
      </c>
      <c r="J164" s="8">
        <v>9259.4</v>
      </c>
      <c r="K164" s="11">
        <v>12346.3</v>
      </c>
      <c r="L164" s="42">
        <v>13392</v>
      </c>
      <c r="M164" s="98">
        <f t="shared" si="11"/>
        <v>0.14524787673212325</v>
      </c>
      <c r="N164" s="8">
        <f t="shared" si="12"/>
        <v>15337.159565196594</v>
      </c>
    </row>
    <row r="165" spans="2:15">
      <c r="N165" s="8">
        <f>SUM(N162:N164)</f>
        <v>134453.07007210213</v>
      </c>
    </row>
    <row r="166" spans="2:15" ht="20.25">
      <c r="B166" s="41" t="s">
        <v>80</v>
      </c>
      <c r="C166" s="92"/>
      <c r="D166" s="92"/>
      <c r="E166" s="92"/>
      <c r="F166" s="92"/>
      <c r="G166" s="92"/>
      <c r="H166" s="93"/>
      <c r="I166" s="93"/>
      <c r="J166" s="93"/>
      <c r="K166" s="93"/>
      <c r="L166" s="93"/>
    </row>
    <row r="167" spans="2:15">
      <c r="C167" s="37"/>
      <c r="D167" s="43"/>
      <c r="E167" s="92"/>
      <c r="F167" s="92"/>
      <c r="G167" s="92"/>
      <c r="H167" s="94"/>
      <c r="I167" s="94"/>
      <c r="J167" s="94"/>
      <c r="K167" s="94"/>
      <c r="L167" s="94"/>
    </row>
    <row r="168" spans="2:15">
      <c r="C168" s="37"/>
      <c r="D168" s="8"/>
      <c r="E168" s="96">
        <v>45199</v>
      </c>
      <c r="F168" s="96">
        <v>45291</v>
      </c>
      <c r="G168" s="96">
        <v>45382</v>
      </c>
      <c r="H168" s="96">
        <v>45473</v>
      </c>
      <c r="I168" s="96">
        <v>45565</v>
      </c>
      <c r="J168" s="96">
        <v>45657</v>
      </c>
      <c r="K168" s="96">
        <v>45747</v>
      </c>
      <c r="L168" s="96">
        <v>45838</v>
      </c>
      <c r="M168" s="96">
        <v>45930</v>
      </c>
      <c r="N168" s="96">
        <v>46022</v>
      </c>
      <c r="O168" s="96"/>
    </row>
    <row r="169" spans="2:15">
      <c r="C169" s="43"/>
      <c r="D169" s="37" t="s">
        <v>81</v>
      </c>
      <c r="E169" s="8">
        <v>3440.17</v>
      </c>
      <c r="F169" s="8">
        <v>3323.87</v>
      </c>
      <c r="G169" s="8">
        <v>2935.82</v>
      </c>
      <c r="H169" s="8">
        <v>3031.82</v>
      </c>
      <c r="I169" s="44">
        <v>3414.67</v>
      </c>
      <c r="J169" s="44">
        <v>3374.28</v>
      </c>
      <c r="K169" s="44">
        <v>3143.75</v>
      </c>
      <c r="L169" s="44">
        <v>3371.14</v>
      </c>
      <c r="M169" s="44">
        <v>4000.99</v>
      </c>
      <c r="N169" s="8">
        <v>3736.82</v>
      </c>
    </row>
    <row r="170" spans="2:15">
      <c r="C170" s="43"/>
      <c r="D170" s="37" t="s">
        <v>251</v>
      </c>
      <c r="E170" s="8"/>
      <c r="F170" s="8"/>
      <c r="G170" s="8"/>
      <c r="I170" s="44"/>
      <c r="J170" s="44"/>
      <c r="K170" s="80">
        <f>K169/G169-1</f>
        <v>7.0825186830255182E-2</v>
      </c>
      <c r="L170" s="80">
        <f>L169/H169-1</f>
        <v>0.11191957306172529</v>
      </c>
      <c r="M170" s="80">
        <f>M169/I169-1</f>
        <v>0.17170619708493051</v>
      </c>
      <c r="N170" s="80">
        <f>N169/J169-1</f>
        <v>0.10744218025771413</v>
      </c>
    </row>
    <row r="171" spans="2:15">
      <c r="C171" s="37"/>
      <c r="D171" s="43" t="s">
        <v>7</v>
      </c>
      <c r="E171" s="8">
        <v>2693.44</v>
      </c>
      <c r="F171" s="8">
        <v>2616.2800000000002</v>
      </c>
      <c r="G171" s="8">
        <v>2533.84</v>
      </c>
      <c r="H171" s="8">
        <v>2423.1799999999998</v>
      </c>
      <c r="I171" s="44">
        <v>2661.84</v>
      </c>
      <c r="J171" s="44">
        <v>2614.89</v>
      </c>
      <c r="K171" s="44">
        <v>2752.46</v>
      </c>
      <c r="L171" s="44">
        <v>2632.09</v>
      </c>
      <c r="M171" s="44">
        <v>3080.22</v>
      </c>
      <c r="N171" s="8">
        <v>2908.82</v>
      </c>
    </row>
    <row r="172" spans="2:15">
      <c r="C172" s="43"/>
      <c r="D172" s="37" t="s">
        <v>82</v>
      </c>
      <c r="E172" s="8">
        <v>746.73</v>
      </c>
      <c r="F172" s="8">
        <v>707.59</v>
      </c>
      <c r="G172" s="8">
        <v>401.98</v>
      </c>
      <c r="H172" s="8">
        <v>608.64</v>
      </c>
      <c r="I172" s="44">
        <v>752.83</v>
      </c>
      <c r="J172" s="44">
        <v>759.39</v>
      </c>
      <c r="K172" s="44">
        <v>391.29</v>
      </c>
      <c r="L172" s="44">
        <v>739.05</v>
      </c>
      <c r="M172" s="44">
        <v>920.77</v>
      </c>
      <c r="N172" s="8">
        <v>828</v>
      </c>
    </row>
    <row r="173" spans="2:15">
      <c r="C173" s="43"/>
      <c r="D173" s="43" t="s">
        <v>83</v>
      </c>
      <c r="E173" s="8">
        <v>5.53</v>
      </c>
      <c r="F173" s="8">
        <v>42.33</v>
      </c>
      <c r="G173" s="8">
        <v>75.650000000000006</v>
      </c>
      <c r="H173" s="8">
        <v>120.31</v>
      </c>
      <c r="I173" s="44">
        <v>134.47999999999999</v>
      </c>
      <c r="J173" s="44">
        <v>92.99</v>
      </c>
      <c r="K173" s="44">
        <v>145.96</v>
      </c>
      <c r="L173" s="44">
        <v>149.41999999999999</v>
      </c>
      <c r="M173" s="44">
        <v>103.69</v>
      </c>
      <c r="N173" s="8">
        <v>90.31</v>
      </c>
    </row>
    <row r="174" spans="2:15">
      <c r="C174" s="43"/>
      <c r="D174" s="43" t="s">
        <v>84</v>
      </c>
      <c r="E174" s="8">
        <v>73.900000000000006</v>
      </c>
      <c r="F174" s="8">
        <v>69.56</v>
      </c>
      <c r="G174" s="8">
        <v>83.43</v>
      </c>
      <c r="H174" s="8">
        <v>80.48</v>
      </c>
      <c r="I174" s="44">
        <v>78.91</v>
      </c>
      <c r="J174" s="44">
        <v>85.28</v>
      </c>
      <c r="K174" s="44">
        <v>112.49</v>
      </c>
      <c r="L174" s="44">
        <v>87.68</v>
      </c>
      <c r="M174" s="44">
        <v>93.61</v>
      </c>
      <c r="N174" s="8">
        <v>95.01</v>
      </c>
    </row>
    <row r="175" spans="2:15">
      <c r="C175" s="43"/>
      <c r="D175" s="43" t="s">
        <v>85</v>
      </c>
      <c r="E175" s="8">
        <v>30.32</v>
      </c>
      <c r="F175" s="8">
        <v>25.46</v>
      </c>
      <c r="G175" s="8">
        <v>26.86</v>
      </c>
      <c r="H175" s="8">
        <v>29.11</v>
      </c>
      <c r="I175" s="44">
        <v>28.14</v>
      </c>
      <c r="J175" s="44">
        <v>36.03</v>
      </c>
      <c r="K175" s="44">
        <v>28.42</v>
      </c>
      <c r="L175" s="44">
        <v>29.78</v>
      </c>
      <c r="M175" s="44">
        <v>35.020000000000003</v>
      </c>
      <c r="N175" s="8">
        <v>42.1</v>
      </c>
    </row>
    <row r="176" spans="2:15">
      <c r="C176" s="43"/>
      <c r="D176" s="43" t="s">
        <v>86</v>
      </c>
      <c r="E176" s="8">
        <v>648.04</v>
      </c>
      <c r="F176" s="8">
        <v>654.9</v>
      </c>
      <c r="G176" s="8">
        <v>367.34</v>
      </c>
      <c r="H176" s="8">
        <v>619.36</v>
      </c>
      <c r="I176" s="44">
        <v>780.26</v>
      </c>
      <c r="J176" s="44">
        <v>731.07</v>
      </c>
      <c r="K176" s="44">
        <v>396.34</v>
      </c>
      <c r="L176" s="44">
        <v>771.01</v>
      </c>
      <c r="M176" s="44">
        <v>895.83</v>
      </c>
      <c r="N176" s="8">
        <v>781.2</v>
      </c>
    </row>
    <row r="177" spans="3:14">
      <c r="C177" s="37"/>
      <c r="D177" s="43" t="s">
        <v>87</v>
      </c>
      <c r="E177" s="37">
        <v>33.15</v>
      </c>
      <c r="F177" s="37">
        <v>50.62</v>
      </c>
      <c r="G177" s="37">
        <v>62.86</v>
      </c>
      <c r="H177" s="37">
        <v>69.12</v>
      </c>
      <c r="I177" s="95">
        <v>78.3</v>
      </c>
      <c r="J177" s="95">
        <v>90.28</v>
      </c>
      <c r="K177" s="95">
        <v>73.33</v>
      </c>
      <c r="L177" s="95">
        <v>102.69</v>
      </c>
      <c r="M177" s="95">
        <v>116.23</v>
      </c>
      <c r="N177" s="43">
        <v>127.67</v>
      </c>
    </row>
    <row r="178" spans="3:14">
      <c r="D178" s="37" t="s">
        <v>88</v>
      </c>
      <c r="E178" s="8">
        <v>620.52</v>
      </c>
      <c r="F178" s="8">
        <v>594.96</v>
      </c>
      <c r="G178" s="8">
        <v>293.56</v>
      </c>
      <c r="H178" s="8">
        <v>545.16</v>
      </c>
      <c r="I178" s="8">
        <v>688.64</v>
      </c>
      <c r="J178" s="8">
        <v>625.82000000000005</v>
      </c>
      <c r="K178" s="8">
        <v>305.86</v>
      </c>
      <c r="L178" s="8">
        <v>664.26</v>
      </c>
      <c r="M178" s="8">
        <v>765.06</v>
      </c>
      <c r="N178" s="8">
        <v>636.02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547D0-3D3F-4BD4-82BF-CF54A2AF137C}">
  <dimension ref="A1:Q120"/>
  <sheetViews>
    <sheetView showGridLines="0" workbookViewId="0">
      <pane xSplit="6" ySplit="2" topLeftCell="G39" activePane="bottomRight" state="frozen"/>
      <selection pane="topRight" activeCell="G1" sqref="G1"/>
      <selection pane="bottomLeft" activeCell="A3" sqref="A3"/>
      <selection pane="bottomRight" activeCell="A21" sqref="A21:XFD21"/>
    </sheetView>
  </sheetViews>
  <sheetFormatPr defaultRowHeight="15" outlineLevelRow="1"/>
  <cols>
    <col min="1" max="3" width="1.28515625" customWidth="1"/>
    <col min="4" max="4" width="55" customWidth="1"/>
    <col min="5" max="5" width="11" bestFit="1" customWidth="1"/>
    <col min="7" max="7" width="1.85546875" customWidth="1"/>
    <col min="8" max="12" width="14.28515625" bestFit="1" customWidth="1"/>
    <col min="13" max="13" width="10.42578125" bestFit="1" customWidth="1"/>
    <col min="14" max="14" width="10.140625" bestFit="1" customWidth="1"/>
    <col min="15" max="17" width="10.42578125" bestFit="1" customWidth="1"/>
  </cols>
  <sheetData>
    <row r="1" spans="1:17" ht="35.25">
      <c r="A1" s="45" t="str">
        <f>Sheet1!B1</f>
        <v>Alkem Laboratories Ltd</v>
      </c>
      <c r="B1" s="46"/>
      <c r="C1" s="46"/>
      <c r="D1" s="46"/>
      <c r="E1" s="46"/>
      <c r="F1" s="46"/>
      <c r="G1" s="46"/>
      <c r="H1" s="97" t="s">
        <v>90</v>
      </c>
      <c r="I1" s="97"/>
      <c r="J1" s="97"/>
      <c r="K1" s="97"/>
      <c r="L1" s="97"/>
      <c r="M1" s="97" t="s">
        <v>91</v>
      </c>
      <c r="N1" s="97"/>
      <c r="O1" s="97"/>
      <c r="P1" s="97"/>
      <c r="Q1" s="97"/>
    </row>
    <row r="2" spans="1:17" ht="18.75">
      <c r="A2" s="47"/>
      <c r="B2" s="48" t="s">
        <v>89</v>
      </c>
      <c r="C2" s="47"/>
      <c r="D2" s="47"/>
      <c r="E2" s="47"/>
      <c r="F2" s="47"/>
      <c r="G2" s="47"/>
      <c r="H2" s="49">
        <f>Sheet1!H4</f>
        <v>2021</v>
      </c>
      <c r="I2" s="49">
        <f>Sheet1!I4</f>
        <v>2022</v>
      </c>
      <c r="J2" s="49">
        <f>Sheet1!J4</f>
        <v>2023</v>
      </c>
      <c r="K2" s="49">
        <f>Sheet1!K4</f>
        <v>2024</v>
      </c>
      <c r="L2" s="49">
        <f>Sheet1!L4</f>
        <v>2025</v>
      </c>
      <c r="M2" s="50">
        <f>L2+1</f>
        <v>2026</v>
      </c>
      <c r="N2" s="50">
        <f t="shared" ref="N2:Q2" si="0">M2+1</f>
        <v>2027</v>
      </c>
      <c r="O2" s="50">
        <f t="shared" si="0"/>
        <v>2028</v>
      </c>
      <c r="P2" s="50">
        <f t="shared" si="0"/>
        <v>2029</v>
      </c>
      <c r="Q2" s="50">
        <f t="shared" si="0"/>
        <v>2030</v>
      </c>
    </row>
    <row r="4" spans="1:17" ht="17.25">
      <c r="A4" s="51" t="s">
        <v>92</v>
      </c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</row>
    <row r="5" spans="1:17" s="61" customFormat="1" ht="16.5" outlineLevel="1">
      <c r="B5" s="62" t="s">
        <v>93</v>
      </c>
    </row>
    <row r="6" spans="1:17" s="61" customFormat="1" ht="16.5" outlineLevel="1">
      <c r="C6" s="62" t="s">
        <v>94</v>
      </c>
      <c r="D6" s="62"/>
      <c r="E6" s="62"/>
      <c r="F6" s="62" t="s">
        <v>112</v>
      </c>
      <c r="G6" s="62"/>
      <c r="H6" s="63">
        <f>Sheet1!H6</f>
        <v>88650.1</v>
      </c>
      <c r="I6" s="63">
        <f>Sheet1!I6</f>
        <v>106341.9</v>
      </c>
      <c r="J6" s="63">
        <f>Sheet1!J6</f>
        <v>115992.6</v>
      </c>
      <c r="K6" s="63">
        <f>Sheet1!K6</f>
        <v>126675.8</v>
      </c>
      <c r="L6" s="63">
        <f>Sheet1!L6</f>
        <v>129645.2</v>
      </c>
      <c r="M6" s="64">
        <f>L6*(1+M107)</f>
        <v>142799.7752683711</v>
      </c>
      <c r="N6" s="64">
        <f t="shared" ref="N6:Q6" si="1">M6*(1+N107)</f>
        <v>154391.2288174374</v>
      </c>
      <c r="O6" s="64">
        <f t="shared" si="1"/>
        <v>164417.11998628423</v>
      </c>
      <c r="P6" s="64">
        <f t="shared" si="1"/>
        <v>172958.68372098025</v>
      </c>
      <c r="Q6" s="64">
        <f t="shared" si="1"/>
        <v>180146.92601883889</v>
      </c>
    </row>
    <row r="7" spans="1:17" s="61" customFormat="1" ht="15.75" outlineLevel="1">
      <c r="C7" s="61" t="s">
        <v>95</v>
      </c>
      <c r="F7" s="61" t="s">
        <v>112</v>
      </c>
      <c r="H7" s="65">
        <f>-SUM(Sheet1!H11:H13)</f>
        <v>-34984.6</v>
      </c>
      <c r="I7" s="65">
        <f>-SUM(Sheet1!I11:I13)</f>
        <v>-41802.899999999994</v>
      </c>
      <c r="J7" s="65">
        <f>-SUM(Sheet1!J11:J13)</f>
        <v>-49068.399999999994</v>
      </c>
      <c r="K7" s="65">
        <f>-SUM(Sheet1!K11:K13)</f>
        <v>-49375.8</v>
      </c>
      <c r="L7" s="65">
        <f>-SUM(Sheet1!L11:L13)</f>
        <v>-47642.599999999991</v>
      </c>
      <c r="M7" s="64">
        <f>-M6*M108</f>
        <v>-56206.897159048953</v>
      </c>
      <c r="N7" s="64">
        <f t="shared" ref="N7:Q7" si="2">-N6*N108</f>
        <v>-60729.589784401105</v>
      </c>
      <c r="O7" s="64">
        <f t="shared" si="2"/>
        <v>-64694.112897168474</v>
      </c>
      <c r="P7" s="64">
        <f t="shared" si="2"/>
        <v>-66771.580924659982</v>
      </c>
      <c r="Q7" s="64">
        <f t="shared" si="2"/>
        <v>-69713.035002405144</v>
      </c>
    </row>
    <row r="8" spans="1:17" s="61" customFormat="1" ht="16.5" outlineLevel="1">
      <c r="C8" s="66" t="s">
        <v>96</v>
      </c>
      <c r="D8" s="66"/>
      <c r="E8" s="66"/>
      <c r="F8" s="69" t="s">
        <v>112</v>
      </c>
      <c r="G8" s="66"/>
      <c r="H8" s="67">
        <f>SUM(H6:H7)</f>
        <v>53665.500000000007</v>
      </c>
      <c r="I8" s="67">
        <f t="shared" ref="I8:L8" si="3">SUM(I6:I7)</f>
        <v>64539</v>
      </c>
      <c r="J8" s="67">
        <f t="shared" si="3"/>
        <v>66924.200000000012</v>
      </c>
      <c r="K8" s="67">
        <f t="shared" si="3"/>
        <v>77300</v>
      </c>
      <c r="L8" s="67">
        <f t="shared" si="3"/>
        <v>82002.600000000006</v>
      </c>
      <c r="M8" s="68">
        <f>SUM(M6:M7)</f>
        <v>86592.878109322148</v>
      </c>
      <c r="N8" s="68">
        <f t="shared" ref="N8:Q8" si="4">SUM(N6:N7)</f>
        <v>93661.639033036292</v>
      </c>
      <c r="O8" s="68">
        <f t="shared" si="4"/>
        <v>99723.007089115767</v>
      </c>
      <c r="P8" s="68">
        <f t="shared" si="4"/>
        <v>106187.10279632027</v>
      </c>
      <c r="Q8" s="68">
        <f t="shared" si="4"/>
        <v>110433.89101643374</v>
      </c>
    </row>
    <row r="9" spans="1:17" s="61" customFormat="1" ht="16.5" outlineLevel="1">
      <c r="B9" s="62" t="s">
        <v>97</v>
      </c>
      <c r="H9" s="64"/>
      <c r="I9" s="64"/>
      <c r="J9" s="64"/>
      <c r="K9" s="64"/>
      <c r="L9" s="64"/>
      <c r="M9" s="64"/>
      <c r="N9" s="64"/>
      <c r="O9" s="64"/>
      <c r="P9" s="64"/>
      <c r="Q9" s="64"/>
    </row>
    <row r="10" spans="1:17" s="61" customFormat="1" ht="15.75" outlineLevel="1">
      <c r="C10" s="61" t="s">
        <v>98</v>
      </c>
      <c r="F10" s="61" t="s">
        <v>112</v>
      </c>
      <c r="H10" s="65">
        <f>-Sheet1!H14</f>
        <v>-16210.3</v>
      </c>
      <c r="I10" s="65">
        <f>-Sheet1!I14</f>
        <v>-19627.099999999999</v>
      </c>
      <c r="J10" s="65">
        <f>-Sheet1!J14</f>
        <v>-21313.5</v>
      </c>
      <c r="K10" s="65">
        <f>-Sheet1!K14</f>
        <v>-22010.1</v>
      </c>
      <c r="L10" s="65">
        <f>-Sheet1!L14</f>
        <v>-24539.200000000001</v>
      </c>
      <c r="M10" s="64">
        <f>-M6*M109</f>
        <v>-26109.596039024513</v>
      </c>
      <c r="N10" s="64">
        <f t="shared" ref="N10:Q10" si="5">-N6*N109</f>
        <v>-28228.347390751198</v>
      </c>
      <c r="O10" s="64">
        <f t="shared" si="5"/>
        <v>-29990.524122915849</v>
      </c>
      <c r="P10" s="64">
        <f t="shared" si="5"/>
        <v>-31509.100639184104</v>
      </c>
      <c r="Q10" s="64">
        <f t="shared" si="5"/>
        <v>-33208.367632951093</v>
      </c>
    </row>
    <row r="11" spans="1:17" s="61" customFormat="1" ht="15.75" outlineLevel="1">
      <c r="C11" s="61" t="s">
        <v>99</v>
      </c>
      <c r="F11" s="61" t="s">
        <v>112</v>
      </c>
      <c r="H11" s="65">
        <f>-Sheet1!H17</f>
        <v>-18031.3</v>
      </c>
      <c r="I11" s="65">
        <f>-Sheet1!I17</f>
        <v>-24382.7</v>
      </c>
      <c r="J11" s="65">
        <f>-Sheet1!J17</f>
        <v>-29516.2</v>
      </c>
      <c r="K11" s="65">
        <f>-Sheet1!K17</f>
        <v>-32835</v>
      </c>
      <c r="L11" s="65">
        <f>-Sheet1!L17</f>
        <v>-32341.9</v>
      </c>
      <c r="M11" s="64">
        <f>-M6*M110</f>
        <v>-34152.575917094473</v>
      </c>
      <c r="N11" s="64">
        <f t="shared" ref="N11:Q11" si="6">-N6*N110</f>
        <v>-38305.306717964297</v>
      </c>
      <c r="O11" s="64">
        <f t="shared" si="6"/>
        <v>-41198.819573776134</v>
      </c>
      <c r="P11" s="64">
        <f t="shared" si="6"/>
        <v>-43064.084117329687</v>
      </c>
      <c r="Q11" s="64">
        <f t="shared" si="6"/>
        <v>-44465.180420012177</v>
      </c>
    </row>
    <row r="12" spans="1:17" s="61" customFormat="1" ht="16.5" outlineLevel="1">
      <c r="C12" s="66" t="s">
        <v>100</v>
      </c>
      <c r="D12" s="69"/>
      <c r="E12" s="69"/>
      <c r="F12" s="69" t="s">
        <v>112</v>
      </c>
      <c r="G12" s="69"/>
      <c r="H12" s="67">
        <f>SUM(H8:H11)</f>
        <v>19423.900000000012</v>
      </c>
      <c r="I12" s="67">
        <f t="shared" ref="I12:Q12" si="7">SUM(I8:I11)</f>
        <v>20529.2</v>
      </c>
      <c r="J12" s="67">
        <f t="shared" si="7"/>
        <v>16094.500000000011</v>
      </c>
      <c r="K12" s="67">
        <f>SUM(K8:K11)</f>
        <v>22454.9</v>
      </c>
      <c r="L12" s="67">
        <f>SUM(L8:L11)</f>
        <v>25121.500000000007</v>
      </c>
      <c r="M12" s="67">
        <f>SUM(M8:M11)</f>
        <v>26330.706153203158</v>
      </c>
      <c r="N12" s="67">
        <f t="shared" ref="N12:Q12" si="8">SUM(N8:N11)</f>
        <v>27127.984924320801</v>
      </c>
      <c r="O12" s="67">
        <f t="shared" si="8"/>
        <v>28533.66339242379</v>
      </c>
      <c r="P12" s="67">
        <f t="shared" si="8"/>
        <v>31613.918039806471</v>
      </c>
      <c r="Q12" s="67">
        <f t="shared" si="8"/>
        <v>32760.342963470473</v>
      </c>
    </row>
    <row r="13" spans="1:17" s="61" customFormat="1" ht="15.75" outlineLevel="1">
      <c r="C13" s="61" t="str">
        <f>Sheet1!C16</f>
        <v>Depreciation and amortisation expense</v>
      </c>
      <c r="F13" s="61" t="s">
        <v>112</v>
      </c>
      <c r="H13" s="65">
        <f>-Sheet1!H16</f>
        <v>-2745.8</v>
      </c>
      <c r="I13" s="65">
        <f>-Sheet1!I16</f>
        <v>-3039.6</v>
      </c>
      <c r="J13" s="65">
        <f>-Sheet1!J16</f>
        <v>-3104.2</v>
      </c>
      <c r="K13" s="65">
        <f>-Sheet1!K16</f>
        <v>-2993</v>
      </c>
      <c r="L13" s="65">
        <f>-Sheet1!L16</f>
        <v>-3571.6</v>
      </c>
      <c r="M13" s="64">
        <f>M95</f>
        <v>-3500.6720450821608</v>
      </c>
      <c r="N13" s="64">
        <f t="shared" ref="N13:Q13" si="9">N95</f>
        <v>-3407.6778077103368</v>
      </c>
      <c r="O13" s="64">
        <f t="shared" si="9"/>
        <v>-3321.6489339370096</v>
      </c>
      <c r="P13" s="64">
        <f t="shared" si="9"/>
        <v>-3182.5565202382095</v>
      </c>
      <c r="Q13" s="64">
        <f t="shared" si="9"/>
        <v>-2984.8573042403759</v>
      </c>
    </row>
    <row r="14" spans="1:17" s="61" customFormat="1" ht="16.5" outlineLevel="1">
      <c r="C14" s="66" t="s">
        <v>108</v>
      </c>
      <c r="D14" s="69"/>
      <c r="E14" s="69"/>
      <c r="F14" s="69" t="s">
        <v>112</v>
      </c>
      <c r="G14" s="69"/>
      <c r="H14" s="67">
        <f>SUM(H12:H13)</f>
        <v>16678.100000000013</v>
      </c>
      <c r="I14" s="67">
        <f t="shared" ref="I14:L14" si="10">SUM(I12:I13)</f>
        <v>17489.600000000002</v>
      </c>
      <c r="J14" s="67">
        <f t="shared" si="10"/>
        <v>12990.30000000001</v>
      </c>
      <c r="K14" s="67">
        <f t="shared" si="10"/>
        <v>19461.900000000001</v>
      </c>
      <c r="L14" s="67">
        <f>SUM(L12:L13)</f>
        <v>21549.900000000009</v>
      </c>
      <c r="M14" s="67">
        <f>SUM(M12:M13)</f>
        <v>22830.034108120999</v>
      </c>
      <c r="N14" s="67">
        <f t="shared" ref="N14:Q14" si="11">SUM(N12:N13)</f>
        <v>23720.307116610464</v>
      </c>
      <c r="O14" s="67">
        <f t="shared" si="11"/>
        <v>25212.014458486781</v>
      </c>
      <c r="P14" s="67">
        <f t="shared" si="11"/>
        <v>28431.361519568261</v>
      </c>
      <c r="Q14" s="67">
        <f t="shared" si="11"/>
        <v>29775.485659230097</v>
      </c>
    </row>
    <row r="15" spans="1:17" s="61" customFormat="1" ht="15.75" outlineLevel="1">
      <c r="C15" s="61" t="s">
        <v>85</v>
      </c>
      <c r="F15" s="61" t="s">
        <v>112</v>
      </c>
      <c r="H15" s="65">
        <f>-Sheet1!H15</f>
        <v>-589.20000000000005</v>
      </c>
      <c r="I15" s="65">
        <f>-Sheet1!I15</f>
        <v>-523.70000000000005</v>
      </c>
      <c r="J15" s="65">
        <f>-Sheet1!J15</f>
        <v>-1073.5999999999999</v>
      </c>
      <c r="K15" s="65">
        <f>-Sheet1!K15</f>
        <v>-1124.0999999999999</v>
      </c>
      <c r="L15" s="65">
        <f>-Sheet1!L15</f>
        <v>-1217</v>
      </c>
      <c r="M15" s="64">
        <f>M102</f>
        <v>-813.85304856489029</v>
      </c>
      <c r="N15" s="64">
        <f t="shared" ref="N15:Q15" si="12">N102</f>
        <v>-813.85304856489029</v>
      </c>
      <c r="O15" s="64">
        <f t="shared" si="12"/>
        <v>-916.42549021704497</v>
      </c>
      <c r="P15" s="64">
        <f t="shared" si="12"/>
        <v>-980.98051868675225</v>
      </c>
      <c r="Q15" s="64">
        <f t="shared" si="12"/>
        <v>-932.23697393712155</v>
      </c>
    </row>
    <row r="16" spans="1:17" s="61" customFormat="1" ht="15.75" outlineLevel="1">
      <c r="C16" s="70" t="s">
        <v>109</v>
      </c>
      <c r="D16" s="70"/>
      <c r="E16" s="70"/>
      <c r="F16" s="70" t="s">
        <v>112</v>
      </c>
      <c r="G16" s="70"/>
      <c r="H16" s="71">
        <f>Sheet1!H7+Sheet1!H21</f>
        <v>2332.1</v>
      </c>
      <c r="I16" s="71">
        <f>Sheet1!I7+Sheet1!I21</f>
        <v>1476.9</v>
      </c>
      <c r="J16" s="71">
        <f>Sheet1!J7+Sheet1!J21</f>
        <v>1131.0000000000002</v>
      </c>
      <c r="K16" s="71">
        <f>Sheet1!K7+Sheet1!K21</f>
        <v>1893.5</v>
      </c>
      <c r="L16" s="71">
        <f>Sheet1!L7+Sheet1!L21</f>
        <v>4937.3999999999996</v>
      </c>
      <c r="M16" s="72">
        <f>M6*M113</f>
        <v>2941.0238039108294</v>
      </c>
      <c r="N16" s="72">
        <f t="shared" ref="N16:Q16" si="13">N6*N113</f>
        <v>2959.308973601826</v>
      </c>
      <c r="O16" s="72">
        <f t="shared" si="13"/>
        <v>3427.1764416580058</v>
      </c>
      <c r="P16" s="72">
        <f t="shared" si="13"/>
        <v>4012.4071570990991</v>
      </c>
      <c r="Q16" s="72">
        <f t="shared" si="13"/>
        <v>4444.737012108606</v>
      </c>
    </row>
    <row r="17" spans="1:17" s="61" customFormat="1" ht="16.5" outlineLevel="1">
      <c r="C17" s="62" t="s">
        <v>110</v>
      </c>
      <c r="F17" s="69" t="s">
        <v>112</v>
      </c>
      <c r="H17" s="73">
        <f>SUM(H14:H16)</f>
        <v>18421.000000000011</v>
      </c>
      <c r="I17" s="73">
        <f t="shared" ref="I17:L17" si="14">SUM(I14:I16)</f>
        <v>18442.800000000003</v>
      </c>
      <c r="J17" s="73">
        <f t="shared" si="14"/>
        <v>13047.70000000001</v>
      </c>
      <c r="K17" s="73">
        <f t="shared" si="14"/>
        <v>20231.300000000003</v>
      </c>
      <c r="L17" s="73">
        <f>SUM(L14:L16)</f>
        <v>25270.30000000001</v>
      </c>
      <c r="M17" s="73">
        <f>SUM(M14:M16)</f>
        <v>24957.204863466937</v>
      </c>
      <c r="N17" s="73">
        <f t="shared" ref="N17:Q17" si="15">SUM(N14:N16)</f>
        <v>25865.763041647398</v>
      </c>
      <c r="O17" s="73">
        <f t="shared" si="15"/>
        <v>27722.765409927742</v>
      </c>
      <c r="P17" s="73">
        <f t="shared" si="15"/>
        <v>31462.788157980609</v>
      </c>
      <c r="Q17" s="73">
        <f t="shared" si="15"/>
        <v>33287.985697401586</v>
      </c>
    </row>
    <row r="18" spans="1:17" s="61" customFormat="1" ht="15.75" outlineLevel="1">
      <c r="C18" s="61" t="s">
        <v>87</v>
      </c>
      <c r="F18" s="61" t="s">
        <v>112</v>
      </c>
      <c r="H18" s="65">
        <f>-Sheet1!H26</f>
        <v>-2243.3000000000002</v>
      </c>
      <c r="I18" s="65">
        <f>-Sheet1!I26</f>
        <v>-1639.6000000000001</v>
      </c>
      <c r="J18" s="65">
        <f>-Sheet1!J26</f>
        <v>-2979.6</v>
      </c>
      <c r="K18" s="65">
        <f>-Sheet1!K26</f>
        <v>-2116.7000000000003</v>
      </c>
      <c r="L18" s="65">
        <f>-Sheet1!L26</f>
        <v>-3110.3</v>
      </c>
      <c r="M18" s="64">
        <f>-M17*M114</f>
        <v>-3328.0419558567992</v>
      </c>
      <c r="N18" s="64">
        <f t="shared" ref="N18:Q18" si="16">-N17*N114</f>
        <v>-3524.0178133296836</v>
      </c>
      <c r="O18" s="64">
        <f t="shared" si="16"/>
        <v>-4085.0762560266244</v>
      </c>
      <c r="P18" s="64">
        <f t="shared" si="16"/>
        <v>-3911.6014335795585</v>
      </c>
      <c r="Q18" s="64">
        <f t="shared" si="16"/>
        <v>-4494.1138097427483</v>
      </c>
    </row>
    <row r="19" spans="1:17" s="61" customFormat="1" ht="17.25" outlineLevel="1" thickBot="1">
      <c r="C19" s="74" t="s">
        <v>111</v>
      </c>
      <c r="D19" s="74"/>
      <c r="E19" s="74"/>
      <c r="F19" s="79" t="s">
        <v>112</v>
      </c>
      <c r="G19" s="74"/>
      <c r="H19" s="75">
        <f>SUM(H17:H18)</f>
        <v>16177.700000000012</v>
      </c>
      <c r="I19" s="75">
        <f t="shared" ref="I19:Q19" si="17">SUM(I17:I18)</f>
        <v>16803.200000000004</v>
      </c>
      <c r="J19" s="75">
        <f t="shared" si="17"/>
        <v>10068.100000000009</v>
      </c>
      <c r="K19" s="75">
        <f t="shared" si="17"/>
        <v>18114.600000000002</v>
      </c>
      <c r="L19" s="75">
        <f t="shared" si="17"/>
        <v>22160.000000000011</v>
      </c>
      <c r="M19" s="75">
        <f t="shared" si="17"/>
        <v>21629.162907610138</v>
      </c>
      <c r="N19" s="75">
        <f t="shared" si="17"/>
        <v>22341.745228317715</v>
      </c>
      <c r="O19" s="75">
        <f t="shared" si="17"/>
        <v>23637.689153901119</v>
      </c>
      <c r="P19" s="75">
        <f t="shared" si="17"/>
        <v>27551.18672440105</v>
      </c>
      <c r="Q19" s="75">
        <f t="shared" si="17"/>
        <v>28793.871887658839</v>
      </c>
    </row>
    <row r="20" spans="1:17" ht="17.25" thickTop="1">
      <c r="C20" s="56"/>
      <c r="D20" s="8"/>
      <c r="E20" s="8"/>
      <c r="F20" s="8"/>
      <c r="H20" s="52"/>
      <c r="I20" s="52"/>
      <c r="J20" s="52"/>
      <c r="K20" s="52"/>
      <c r="L20" s="52"/>
      <c r="M20" s="52"/>
      <c r="N20" s="52"/>
      <c r="O20" s="52"/>
      <c r="P20" s="52"/>
      <c r="Q20" s="52"/>
    </row>
    <row r="21" spans="1:17" ht="17.25">
      <c r="A21" s="51" t="s">
        <v>17</v>
      </c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</row>
    <row r="22" spans="1:17" ht="10.5" customHeight="1">
      <c r="C22" s="8"/>
      <c r="D22" s="8"/>
      <c r="E22" s="8"/>
      <c r="F22" s="8"/>
      <c r="H22" s="52"/>
      <c r="I22" s="52"/>
      <c r="J22" s="52"/>
      <c r="K22" s="52"/>
      <c r="L22" s="52"/>
      <c r="M22" s="52"/>
      <c r="N22" s="52"/>
      <c r="O22" s="52"/>
      <c r="P22" s="52"/>
      <c r="Q22" s="52"/>
    </row>
    <row r="23" spans="1:17" s="61" customFormat="1" ht="16.5">
      <c r="A23" s="62"/>
      <c r="B23" s="62" t="s">
        <v>113</v>
      </c>
      <c r="F23" s="62"/>
      <c r="H23" s="64"/>
      <c r="I23" s="64"/>
      <c r="J23" s="64"/>
      <c r="K23" s="64"/>
      <c r="L23" s="64"/>
      <c r="M23" s="64"/>
      <c r="N23" s="64"/>
      <c r="O23" s="64"/>
      <c r="P23" s="64"/>
      <c r="Q23" s="64"/>
    </row>
    <row r="24" spans="1:17" s="61" customFormat="1" ht="16.5">
      <c r="C24" s="62" t="s">
        <v>114</v>
      </c>
      <c r="H24" s="64"/>
      <c r="I24" s="64"/>
      <c r="J24" s="64"/>
      <c r="K24" s="64"/>
      <c r="L24" s="64"/>
      <c r="M24" s="64"/>
      <c r="N24" s="64"/>
      <c r="O24" s="64"/>
      <c r="P24" s="64"/>
      <c r="Q24" s="64"/>
    </row>
    <row r="25" spans="1:17" s="61" customFormat="1" ht="15.75">
      <c r="D25" s="61" t="s">
        <v>115</v>
      </c>
      <c r="F25" s="61" t="s">
        <v>112</v>
      </c>
      <c r="H25" s="65">
        <f>Sheet1!H53</f>
        <v>1742.2</v>
      </c>
      <c r="I25" s="65">
        <f>Sheet1!I53</f>
        <v>2321.8000000000002</v>
      </c>
      <c r="J25" s="65">
        <f>Sheet1!J53</f>
        <v>2738</v>
      </c>
      <c r="K25" s="65">
        <f>Sheet1!K53</f>
        <v>4550.7</v>
      </c>
      <c r="L25" s="65">
        <f>Sheet1!L53</f>
        <v>3041.4</v>
      </c>
      <c r="M25" s="64">
        <f>M81</f>
        <v>7318.6705471746645</v>
      </c>
      <c r="N25" s="64">
        <f t="shared" ref="N25:Q25" si="18">N81</f>
        <v>20967.533556839218</v>
      </c>
      <c r="O25" s="64">
        <f t="shared" si="18"/>
        <v>37288.19638960954</v>
      </c>
      <c r="P25" s="64">
        <f t="shared" si="18"/>
        <v>56837.872131279655</v>
      </c>
      <c r="Q25" s="64">
        <f t="shared" si="18"/>
        <v>62338.945746679572</v>
      </c>
    </row>
    <row r="26" spans="1:17" s="61" customFormat="1" ht="15.75">
      <c r="D26" s="61" t="s">
        <v>116</v>
      </c>
      <c r="F26" s="61" t="s">
        <v>112</v>
      </c>
      <c r="H26" s="65">
        <f>Sheet1!H54</f>
        <v>18162.3</v>
      </c>
      <c r="I26" s="65">
        <f>Sheet1!I54</f>
        <v>23464</v>
      </c>
      <c r="J26" s="65">
        <f>Sheet1!J54</f>
        <v>23430.9</v>
      </c>
      <c r="K26" s="65">
        <f>Sheet1!K54</f>
        <v>11242.8</v>
      </c>
      <c r="L26" s="65">
        <f>Sheet1!L54</f>
        <v>12589.4</v>
      </c>
      <c r="M26" s="64">
        <f>L26</f>
        <v>12589.4</v>
      </c>
      <c r="N26" s="64">
        <f t="shared" ref="N26:Q26" si="19">M26</f>
        <v>12589.4</v>
      </c>
      <c r="O26" s="64">
        <f t="shared" si="19"/>
        <v>12589.4</v>
      </c>
      <c r="P26" s="64">
        <f t="shared" si="19"/>
        <v>12589.4</v>
      </c>
      <c r="Q26" s="64">
        <f t="shared" si="19"/>
        <v>12589.4</v>
      </c>
    </row>
    <row r="27" spans="1:17" s="61" customFormat="1" ht="15.75">
      <c r="D27" s="61" t="s">
        <v>117</v>
      </c>
      <c r="F27" s="61" t="s">
        <v>112</v>
      </c>
      <c r="H27" s="65">
        <f>Sheet1!H52</f>
        <v>16072.1</v>
      </c>
      <c r="I27" s="65">
        <f>Sheet1!I52</f>
        <v>18846</v>
      </c>
      <c r="J27" s="65">
        <f>Sheet1!J52</f>
        <v>21321.8</v>
      </c>
      <c r="K27" s="65">
        <f>Sheet1!K52</f>
        <v>22528.1</v>
      </c>
      <c r="L27" s="65">
        <f>Sheet1!L52</f>
        <v>24662.5</v>
      </c>
      <c r="M27" s="64">
        <f>M6*M116/365</f>
        <v>26001.28749763091</v>
      </c>
      <c r="N27" s="64">
        <f t="shared" ref="N27:Q27" si="20">N6*N116/365</f>
        <v>28142.143667577227</v>
      </c>
      <c r="O27" s="64">
        <f t="shared" si="20"/>
        <v>30169.464533732822</v>
      </c>
      <c r="P27" s="64">
        <f t="shared" si="20"/>
        <v>31670.100339860983</v>
      </c>
      <c r="Q27" s="64">
        <f t="shared" si="20"/>
        <v>33240.910221394624</v>
      </c>
    </row>
    <row r="28" spans="1:17" s="61" customFormat="1" ht="15.75">
      <c r="D28" s="61" t="s">
        <v>118</v>
      </c>
      <c r="F28" s="61" t="s">
        <v>112</v>
      </c>
      <c r="H28" s="65">
        <f>Sheet1!H49</f>
        <v>23124.400000000001</v>
      </c>
      <c r="I28" s="65">
        <f>Sheet1!I49</f>
        <v>30055.3</v>
      </c>
      <c r="J28" s="65">
        <f>Sheet1!J49</f>
        <v>26075.3</v>
      </c>
      <c r="K28" s="65">
        <f>Sheet1!K49</f>
        <v>26611.8</v>
      </c>
      <c r="L28" s="65">
        <f>Sheet1!L49</f>
        <v>29224.1</v>
      </c>
      <c r="M28" s="64">
        <f>-M7*M117/365</f>
        <v>34440.649586073872</v>
      </c>
      <c r="N28" s="64">
        <f t="shared" ref="N28:Q28" si="21">-N7*N117/365</f>
        <v>36479.516944362003</v>
      </c>
      <c r="O28" s="64">
        <f t="shared" si="21"/>
        <v>37142.864489191736</v>
      </c>
      <c r="P28" s="64">
        <f t="shared" si="21"/>
        <v>39492.094585291605</v>
      </c>
      <c r="Q28" s="64">
        <f t="shared" si="21"/>
        <v>41844.70312635204</v>
      </c>
    </row>
    <row r="29" spans="1:17" s="61" customFormat="1" ht="15.75">
      <c r="D29" s="61" t="s">
        <v>119</v>
      </c>
      <c r="F29" s="61" t="s">
        <v>112</v>
      </c>
      <c r="H29" s="65">
        <f>Sheet1!H57</f>
        <v>5550.1</v>
      </c>
      <c r="I29" s="65">
        <f>Sheet1!I57</f>
        <v>6322.8</v>
      </c>
      <c r="J29" s="65">
        <f>Sheet1!J57</f>
        <v>7360.9</v>
      </c>
      <c r="K29" s="65">
        <f>Sheet1!K57</f>
        <v>8299.7999999999993</v>
      </c>
      <c r="L29" s="65">
        <f>Sheet1!L57</f>
        <v>8326.7000000000007</v>
      </c>
      <c r="M29" s="64">
        <f>L29</f>
        <v>8326.7000000000007</v>
      </c>
      <c r="N29" s="64">
        <f t="shared" ref="N29:Q29" si="22">M29</f>
        <v>8326.7000000000007</v>
      </c>
      <c r="O29" s="64">
        <f t="shared" si="22"/>
        <v>8326.7000000000007</v>
      </c>
      <c r="P29" s="64">
        <f t="shared" si="22"/>
        <v>8326.7000000000007</v>
      </c>
      <c r="Q29" s="64">
        <f t="shared" si="22"/>
        <v>8326.7000000000007</v>
      </c>
    </row>
    <row r="30" spans="1:17" s="61" customFormat="1" ht="5.25" customHeight="1">
      <c r="H30" s="65"/>
      <c r="I30" s="65"/>
      <c r="J30" s="65"/>
      <c r="K30" s="65"/>
      <c r="L30" s="65"/>
      <c r="M30" s="64"/>
      <c r="N30" s="64"/>
      <c r="O30" s="64"/>
      <c r="P30" s="64"/>
      <c r="Q30" s="64"/>
    </row>
    <row r="31" spans="1:17" s="61" customFormat="1" ht="16.5">
      <c r="C31" s="62" t="s">
        <v>120</v>
      </c>
      <c r="H31" s="65"/>
      <c r="I31" s="65"/>
      <c r="J31" s="65"/>
      <c r="K31" s="65"/>
      <c r="L31" s="65"/>
      <c r="M31" s="64"/>
      <c r="N31" s="64"/>
      <c r="O31" s="64"/>
      <c r="P31" s="64"/>
      <c r="Q31" s="64"/>
    </row>
    <row r="32" spans="1:17" s="61" customFormat="1" ht="15.75">
      <c r="D32" s="61" t="s">
        <v>121</v>
      </c>
      <c r="F32" s="61" t="s">
        <v>112</v>
      </c>
      <c r="H32" s="65">
        <f>Sheet1!H33+Sheet1!H34+Sheet1!H35+Sheet1!H37+Sheet1!H38</f>
        <v>27908.699999999997</v>
      </c>
      <c r="I32" s="65">
        <f>Sheet1!I33+Sheet1!I34+Sheet1!I35+Sheet1!I37+Sheet1!I38</f>
        <v>28381.200000000001</v>
      </c>
      <c r="J32" s="65">
        <f>Sheet1!J33+Sheet1!J34+Sheet1!J35+Sheet1!J37+Sheet1!J38</f>
        <v>25929</v>
      </c>
      <c r="K32" s="65">
        <f>Sheet1!K33+Sheet1!K34+Sheet1!K35+Sheet1!K37+Sheet1!K38</f>
        <v>26146.1</v>
      </c>
      <c r="L32" s="65">
        <f>Sheet1!L33+Sheet1!L34+Sheet1!L35+Sheet1!L37+Sheet1!L38</f>
        <v>29772.7</v>
      </c>
      <c r="M32" s="64">
        <f>M96</f>
        <v>28981.797711712345</v>
      </c>
      <c r="N32" s="64">
        <f t="shared" ref="N32:Q32" si="23">N96</f>
        <v>27738.926171555941</v>
      </c>
      <c r="O32" s="64">
        <f t="shared" si="23"/>
        <v>26129.787689904093</v>
      </c>
      <c r="P32" s="64">
        <f t="shared" si="23"/>
        <v>24291.406908862144</v>
      </c>
      <c r="Q32" s="64">
        <f t="shared" si="23"/>
        <v>22355.239235966492</v>
      </c>
    </row>
    <row r="33" spans="2:17" s="61" customFormat="1" ht="15.75">
      <c r="D33" s="61" t="s">
        <v>122</v>
      </c>
      <c r="F33" s="61" t="s">
        <v>112</v>
      </c>
      <c r="H33" s="76">
        <f>Sheet1!H36</f>
        <v>3953.9</v>
      </c>
      <c r="I33" s="76">
        <f>Sheet1!I36</f>
        <v>4030.9</v>
      </c>
      <c r="J33" s="76">
        <f>Sheet1!J36</f>
        <v>4131.7</v>
      </c>
      <c r="K33" s="76">
        <f>Sheet1!K36</f>
        <v>4167.3999999999996</v>
      </c>
      <c r="L33" s="76">
        <f>Sheet1!L36</f>
        <v>4231.1000000000004</v>
      </c>
      <c r="M33" s="99">
        <f>L33</f>
        <v>4231.1000000000004</v>
      </c>
      <c r="N33" s="99">
        <f t="shared" ref="N33:Q33" si="24">M33</f>
        <v>4231.1000000000004</v>
      </c>
      <c r="O33" s="99">
        <f t="shared" si="24"/>
        <v>4231.1000000000004</v>
      </c>
      <c r="P33" s="99">
        <f t="shared" si="24"/>
        <v>4231.1000000000004</v>
      </c>
      <c r="Q33" s="99">
        <f t="shared" si="24"/>
        <v>4231.1000000000004</v>
      </c>
    </row>
    <row r="34" spans="2:17" s="61" customFormat="1" ht="15.75">
      <c r="D34" s="61" t="s">
        <v>123</v>
      </c>
      <c r="F34" s="61" t="s">
        <v>112</v>
      </c>
      <c r="H34" s="77">
        <f>Sheet1!H40+Sheet1!H41+Sheet1!H42+Sheet1!H51+Sheet1!H55+Sheet1!H56+Sheet1!H59</f>
        <v>6864.7</v>
      </c>
      <c r="I34" s="77">
        <f>Sheet1!I40+Sheet1!I41+Sheet1!I42+Sheet1!I51+Sheet1!I55+Sheet1!I56+Sheet1!I59</f>
        <v>12847.999999999998</v>
      </c>
      <c r="J34" s="77">
        <f>Sheet1!J40+Sheet1!J41+Sheet1!J42+Sheet1!J51+Sheet1!J55+Sheet1!J56+Sheet1!J59</f>
        <v>12448.7</v>
      </c>
      <c r="K34" s="77">
        <f>Sheet1!K40+Sheet1!K41+Sheet1!K42+Sheet1!K51+Sheet1!K55+Sheet1!K56+Sheet1!K59</f>
        <v>35432.800000000003</v>
      </c>
      <c r="L34" s="77">
        <f>Sheet1!L40+Sheet1!L41+Sheet1!L42+Sheet1!L51+Sheet1!L55+Sheet1!L56+Sheet1!L59</f>
        <v>45800.100000000006</v>
      </c>
      <c r="M34" s="100">
        <f>L34</f>
        <v>45800.100000000006</v>
      </c>
      <c r="N34" s="100">
        <f t="shared" ref="N34:Q34" si="25">M34</f>
        <v>45800.100000000006</v>
      </c>
      <c r="O34" s="100">
        <f t="shared" si="25"/>
        <v>45800.100000000006</v>
      </c>
      <c r="P34" s="100">
        <f t="shared" si="25"/>
        <v>45800.100000000006</v>
      </c>
      <c r="Q34" s="100">
        <f t="shared" si="25"/>
        <v>45800.100000000006</v>
      </c>
    </row>
    <row r="35" spans="2:17" s="61" customFormat="1" ht="15.75">
      <c r="D35" s="61" t="s">
        <v>124</v>
      </c>
      <c r="F35" s="61" t="s">
        <v>112</v>
      </c>
      <c r="H35" s="77">
        <f>SUM(Sheet1!H43:H45)</f>
        <v>11814.2</v>
      </c>
      <c r="I35" s="77">
        <f>SUM(Sheet1!I43:I45)</f>
        <v>14421.900000000001</v>
      </c>
      <c r="J35" s="77">
        <f>SUM(Sheet1!J43:J45)</f>
        <v>14130</v>
      </c>
      <c r="K35" s="77">
        <f>SUM(Sheet1!K43:K45)</f>
        <v>16769.5</v>
      </c>
      <c r="L35" s="77">
        <f>SUM(Sheet1!L43:L45)</f>
        <v>19263</v>
      </c>
      <c r="M35" s="100">
        <f>L35</f>
        <v>19263</v>
      </c>
      <c r="N35" s="100">
        <f t="shared" ref="N35:Q35" si="26">M35</f>
        <v>19263</v>
      </c>
      <c r="O35" s="100">
        <f t="shared" si="26"/>
        <v>19263</v>
      </c>
      <c r="P35" s="100">
        <f t="shared" si="26"/>
        <v>19263</v>
      </c>
      <c r="Q35" s="100">
        <f t="shared" si="26"/>
        <v>19263</v>
      </c>
    </row>
    <row r="36" spans="2:17" s="61" customFormat="1" ht="17.25" thickBot="1">
      <c r="D36" s="74" t="s">
        <v>125</v>
      </c>
      <c r="E36" s="74"/>
      <c r="F36" s="79" t="s">
        <v>112</v>
      </c>
      <c r="G36" s="74"/>
      <c r="H36" s="75">
        <f>SUM(H25:H35)</f>
        <v>115192.59999999998</v>
      </c>
      <c r="I36" s="75">
        <f t="shared" ref="I36:Q36" si="27">SUM(I25:I35)</f>
        <v>140691.9</v>
      </c>
      <c r="J36" s="75">
        <f t="shared" si="27"/>
        <v>137566.29999999999</v>
      </c>
      <c r="K36" s="75">
        <f t="shared" si="27"/>
        <v>155749</v>
      </c>
      <c r="L36" s="75">
        <f t="shared" si="27"/>
        <v>176911</v>
      </c>
      <c r="M36" s="75">
        <f t="shared" si="27"/>
        <v>186952.7053425918</v>
      </c>
      <c r="N36" s="75">
        <f t="shared" si="27"/>
        <v>203538.42034033441</v>
      </c>
      <c r="O36" s="75">
        <f t="shared" si="27"/>
        <v>220940.61310243819</v>
      </c>
      <c r="P36" s="75">
        <f t="shared" si="27"/>
        <v>242501.77396529441</v>
      </c>
      <c r="Q36" s="75">
        <f t="shared" si="27"/>
        <v>249990.09833039276</v>
      </c>
    </row>
    <row r="37" spans="2:17" ht="17.25" thickTop="1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</row>
    <row r="38" spans="2:17" ht="16.5">
      <c r="B38" s="1" t="s">
        <v>55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</row>
    <row r="39" spans="2:17" ht="16.5">
      <c r="B39" s="8"/>
      <c r="C39" s="1" t="s">
        <v>64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</row>
    <row r="40" spans="2:17" ht="16.5">
      <c r="B40" s="8"/>
      <c r="C40" s="8"/>
      <c r="D40" s="8" t="s">
        <v>126</v>
      </c>
      <c r="E40" s="8"/>
      <c r="F40" s="61" t="s">
        <v>112</v>
      </c>
      <c r="G40" s="8"/>
      <c r="H40" s="65">
        <f>Sheet1!H86+Sheet1!H87</f>
        <v>10694.1</v>
      </c>
      <c r="I40" s="65">
        <f>Sheet1!I86+Sheet1!I87</f>
        <v>11733.800000000001</v>
      </c>
      <c r="J40" s="65">
        <f>Sheet1!J86+Sheet1!J87</f>
        <v>11650.300000000001</v>
      </c>
      <c r="K40" s="65">
        <f>Sheet1!K86+Sheet1!K87</f>
        <v>17481.2</v>
      </c>
      <c r="L40" s="65">
        <f>Sheet1!L86+Sheet1!L87</f>
        <v>18393.5</v>
      </c>
      <c r="M40" s="8">
        <f>-M7*M118/365</f>
        <v>17580.616800568288</v>
      </c>
      <c r="N40" s="8">
        <f t="shared" ref="N40:Q40" si="28">-N7*N118/365</f>
        <v>19103.09473658448</v>
      </c>
      <c r="O40" s="8">
        <f t="shared" si="28"/>
        <v>20869.191920543519</v>
      </c>
      <c r="P40" s="8">
        <f t="shared" si="28"/>
        <v>22826.871956544026</v>
      </c>
      <c r="Q40" s="8">
        <f t="shared" si="28"/>
        <v>23284.136131019593</v>
      </c>
    </row>
    <row r="41" spans="2:17" ht="16.5">
      <c r="B41" s="8"/>
      <c r="C41" s="8"/>
      <c r="D41" s="8" t="s">
        <v>127</v>
      </c>
      <c r="E41" s="8"/>
      <c r="F41" s="61" t="s">
        <v>112</v>
      </c>
      <c r="G41" s="8"/>
      <c r="H41" s="65">
        <f>Sheet1!H88+Sheet1!H89+Sheet1!H90+Sheet1!H91</f>
        <v>8402.9999999999982</v>
      </c>
      <c r="I41" s="65">
        <f>Sheet1!I88+Sheet1!I89+Sheet1!I90+Sheet1!I91</f>
        <v>10396.200000000001</v>
      </c>
      <c r="J41" s="65">
        <f>Sheet1!J88+Sheet1!J89+Sheet1!J90+Sheet1!J91</f>
        <v>12157.699999999999</v>
      </c>
      <c r="K41" s="65">
        <f>Sheet1!K88+Sheet1!K89+Sheet1!K90+Sheet1!K91</f>
        <v>10572.800000000001</v>
      </c>
      <c r="L41" s="65">
        <f>Sheet1!L88+Sheet1!L89+Sheet1!L90+Sheet1!L91</f>
        <v>13167.7</v>
      </c>
      <c r="M41" s="58">
        <f>L41</f>
        <v>13167.7</v>
      </c>
      <c r="N41" s="58">
        <f t="shared" ref="N41:P41" si="29">M41</f>
        <v>13167.7</v>
      </c>
      <c r="O41" s="58">
        <f t="shared" si="29"/>
        <v>13167.7</v>
      </c>
      <c r="P41" s="58">
        <f t="shared" si="29"/>
        <v>13167.7</v>
      </c>
      <c r="Q41" s="8"/>
    </row>
    <row r="42" spans="2:17" ht="16.5">
      <c r="B42" s="8"/>
      <c r="C42" s="1" t="s">
        <v>128</v>
      </c>
      <c r="D42" s="8"/>
      <c r="E42" s="8"/>
      <c r="F42" s="61"/>
      <c r="G42" s="8"/>
      <c r="H42" s="65"/>
      <c r="I42" s="65"/>
      <c r="J42" s="65"/>
      <c r="K42" s="65"/>
      <c r="L42" s="65"/>
      <c r="M42" s="8"/>
      <c r="N42" s="8"/>
      <c r="O42" s="8"/>
      <c r="P42" s="8"/>
      <c r="Q42" s="8"/>
    </row>
    <row r="43" spans="2:17" ht="16.5">
      <c r="B43" s="8"/>
      <c r="C43" s="8"/>
      <c r="D43" s="8" t="s">
        <v>129</v>
      </c>
      <c r="E43" s="8"/>
      <c r="F43" s="61" t="s">
        <v>112</v>
      </c>
      <c r="G43" s="8"/>
      <c r="H43" s="65">
        <f>Sheet1!H74+Sheet1!H75+Sheet1!H83+Sheet1!H84</f>
        <v>17919.800000000003</v>
      </c>
      <c r="I43" s="65">
        <f>Sheet1!I74+Sheet1!I75+Sheet1!I83+Sheet1!I84</f>
        <v>26681.9</v>
      </c>
      <c r="J43" s="65">
        <f>Sheet1!J74+Sheet1!J75+Sheet1!J83+Sheet1!J84</f>
        <v>13966.8</v>
      </c>
      <c r="K43" s="65">
        <f>Sheet1!K74+Sheet1!K75+Sheet1!K83+Sheet1!K84</f>
        <v>14184.1</v>
      </c>
      <c r="L43" s="65">
        <f>Sheet1!L74+Sheet1!L75+Sheet1!L83+Sheet1!L84</f>
        <v>13808.999999999998</v>
      </c>
      <c r="M43" s="58">
        <f>M101</f>
        <v>13808.999999999998</v>
      </c>
      <c r="N43" s="58">
        <f t="shared" ref="N43:Q43" si="30">N101</f>
        <v>13808.999999999998</v>
      </c>
      <c r="O43" s="58">
        <f t="shared" si="30"/>
        <v>13808.999999999998</v>
      </c>
      <c r="P43" s="58">
        <f t="shared" si="30"/>
        <v>13808.999999999998</v>
      </c>
      <c r="Q43" s="58">
        <f t="shared" si="30"/>
        <v>13808.999999999998</v>
      </c>
    </row>
    <row r="44" spans="2:17" ht="16.5">
      <c r="B44" s="8"/>
      <c r="C44" s="8"/>
      <c r="D44" s="8" t="s">
        <v>130</v>
      </c>
      <c r="E44" s="8"/>
      <c r="F44" s="61" t="s">
        <v>112</v>
      </c>
      <c r="G44" s="8"/>
      <c r="H44" s="65">
        <f>SUM(Sheet1!H76:H78)</f>
        <v>2595.6000000000004</v>
      </c>
      <c r="I44" s="65">
        <f>SUM(Sheet1!I76:I78)</f>
        <v>3406.7</v>
      </c>
      <c r="J44" s="65">
        <f>SUM(Sheet1!J76:J78)</f>
        <v>5441.7</v>
      </c>
      <c r="K44" s="65">
        <f>SUM(Sheet1!K76:K78)</f>
        <v>6366.9</v>
      </c>
      <c r="L44" s="65">
        <f>SUM(Sheet1!L76:L78)</f>
        <v>7141.6</v>
      </c>
      <c r="M44" s="58">
        <f>L44</f>
        <v>7141.6</v>
      </c>
      <c r="N44" s="58">
        <f t="shared" ref="N44:Q44" si="31">M44</f>
        <v>7141.6</v>
      </c>
      <c r="O44" s="58">
        <f t="shared" si="31"/>
        <v>7141.6</v>
      </c>
      <c r="P44" s="58">
        <f t="shared" si="31"/>
        <v>7141.6</v>
      </c>
      <c r="Q44" s="58">
        <f t="shared" si="31"/>
        <v>7141.6</v>
      </c>
    </row>
    <row r="45" spans="2:17" ht="16.5">
      <c r="B45" s="8"/>
      <c r="C45" s="8"/>
      <c r="D45" s="66" t="s">
        <v>74</v>
      </c>
      <c r="E45" s="66"/>
      <c r="F45" s="69" t="s">
        <v>112</v>
      </c>
      <c r="G45" s="66"/>
      <c r="H45" s="67">
        <f>SUM(H40:H44)</f>
        <v>39612.5</v>
      </c>
      <c r="I45" s="67">
        <f t="shared" ref="I45:Q45" si="32">SUM(I40:I44)</f>
        <v>52218.6</v>
      </c>
      <c r="J45" s="67">
        <f t="shared" si="32"/>
        <v>43216.5</v>
      </c>
      <c r="K45" s="67">
        <f t="shared" si="32"/>
        <v>48605</v>
      </c>
      <c r="L45" s="67">
        <f t="shared" si="32"/>
        <v>52511.799999999996</v>
      </c>
      <c r="M45" s="67">
        <f t="shared" si="32"/>
        <v>51698.916800568288</v>
      </c>
      <c r="N45" s="67">
        <f t="shared" si="32"/>
        <v>53221.39473658448</v>
      </c>
      <c r="O45" s="67">
        <f t="shared" si="32"/>
        <v>54987.491920543522</v>
      </c>
      <c r="P45" s="67">
        <f t="shared" si="32"/>
        <v>56945.171956544022</v>
      </c>
      <c r="Q45" s="67">
        <f t="shared" si="32"/>
        <v>44234.736131019592</v>
      </c>
    </row>
    <row r="46" spans="2:17" ht="16.5">
      <c r="B46" s="8"/>
      <c r="C46" s="1" t="s">
        <v>131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</row>
    <row r="47" spans="2:17" ht="16.5">
      <c r="B47" s="8"/>
      <c r="C47" s="8"/>
      <c r="D47" s="8" t="s">
        <v>132</v>
      </c>
      <c r="E47" s="8"/>
      <c r="F47" s="61" t="s">
        <v>112</v>
      </c>
      <c r="H47" s="65">
        <f>Sheet1!H65</f>
        <v>239.1</v>
      </c>
      <c r="I47" s="65">
        <f>Sheet1!I65</f>
        <v>239.1</v>
      </c>
      <c r="J47" s="65">
        <f>Sheet1!J65</f>
        <v>239.1</v>
      </c>
      <c r="K47" s="65">
        <f>Sheet1!K65</f>
        <v>239.1</v>
      </c>
      <c r="L47" s="65">
        <f>Sheet1!L65</f>
        <v>239.1</v>
      </c>
      <c r="M47" s="58">
        <f>L47</f>
        <v>239.1</v>
      </c>
      <c r="N47" s="58">
        <f t="shared" ref="N47:Q47" si="33">M47</f>
        <v>239.1</v>
      </c>
      <c r="O47" s="58">
        <f t="shared" si="33"/>
        <v>239.1</v>
      </c>
      <c r="P47" s="58">
        <f t="shared" si="33"/>
        <v>239.1</v>
      </c>
      <c r="Q47" s="58">
        <f t="shared" si="33"/>
        <v>239.1</v>
      </c>
    </row>
    <row r="48" spans="2:17" ht="16.5">
      <c r="B48" s="8"/>
      <c r="C48" s="8"/>
      <c r="D48" s="17" t="s">
        <v>133</v>
      </c>
      <c r="E48" s="17"/>
      <c r="F48" s="70" t="s">
        <v>112</v>
      </c>
      <c r="G48" s="17"/>
      <c r="H48" s="65">
        <f>Sheet1!H66</f>
        <v>73528.2</v>
      </c>
      <c r="I48" s="65">
        <f>Sheet1!I66</f>
        <v>86139.9</v>
      </c>
      <c r="J48" s="65">
        <f>Sheet1!J66</f>
        <v>90213.8</v>
      </c>
      <c r="K48" s="65">
        <f>Sheet1!K66</f>
        <v>102881.5</v>
      </c>
      <c r="L48" s="65">
        <f>Sheet1!L66</f>
        <v>119609.60000000001</v>
      </c>
      <c r="M48" s="58">
        <f>L48+M19+M75</f>
        <v>134706.48854202352</v>
      </c>
      <c r="N48" s="58">
        <f t="shared" ref="N48:Q48" si="34">M48+N19+N75</f>
        <v>149769.72560374992</v>
      </c>
      <c r="O48" s="58">
        <f t="shared" si="34"/>
        <v>165405.82118189469</v>
      </c>
      <c r="P48" s="58">
        <f t="shared" si="34"/>
        <v>185009.30200875038</v>
      </c>
      <c r="Q48" s="58">
        <f t="shared" si="34"/>
        <v>205208.06219937318</v>
      </c>
    </row>
    <row r="49" spans="1:17" ht="16.5">
      <c r="B49" s="8"/>
      <c r="C49" s="8"/>
      <c r="D49" s="1" t="s">
        <v>134</v>
      </c>
      <c r="E49" s="1"/>
      <c r="F49" s="61" t="s">
        <v>112</v>
      </c>
      <c r="G49" s="1"/>
      <c r="H49" s="55">
        <f>SUM(H47:H48)</f>
        <v>73767.3</v>
      </c>
      <c r="I49" s="55">
        <f t="shared" ref="I49:Q49" si="35">SUM(I47:I48)</f>
        <v>86379</v>
      </c>
      <c r="J49" s="55">
        <f t="shared" si="35"/>
        <v>90452.900000000009</v>
      </c>
      <c r="K49" s="55">
        <f t="shared" si="35"/>
        <v>103120.6</v>
      </c>
      <c r="L49" s="55">
        <f t="shared" si="35"/>
        <v>119848.70000000001</v>
      </c>
      <c r="M49" s="55">
        <f t="shared" si="35"/>
        <v>134945.58854202353</v>
      </c>
      <c r="N49" s="55">
        <f t="shared" si="35"/>
        <v>150008.82560374992</v>
      </c>
      <c r="O49" s="55">
        <f t="shared" si="35"/>
        <v>165644.92118189469</v>
      </c>
      <c r="P49" s="55">
        <f t="shared" si="35"/>
        <v>185248.40200875039</v>
      </c>
      <c r="Q49" s="55">
        <f t="shared" si="35"/>
        <v>205447.16219937318</v>
      </c>
    </row>
    <row r="50" spans="1:17" ht="16.5">
      <c r="D50" s="8" t="s">
        <v>135</v>
      </c>
      <c r="F50" s="61" t="s">
        <v>112</v>
      </c>
      <c r="H50" s="65">
        <f>Sheet1!H68</f>
        <v>1812.8</v>
      </c>
      <c r="I50" s="65">
        <f>Sheet1!I68</f>
        <v>2094.3000000000002</v>
      </c>
      <c r="J50" s="65">
        <f>Sheet1!J68</f>
        <v>3897.1</v>
      </c>
      <c r="K50" s="65">
        <f>Sheet1!K68</f>
        <v>4023.4</v>
      </c>
      <c r="L50" s="65">
        <f>Sheet1!L68</f>
        <v>4487.6000000000004</v>
      </c>
      <c r="M50" s="58">
        <f>L50</f>
        <v>4487.6000000000004</v>
      </c>
      <c r="N50" s="58">
        <f t="shared" ref="N50:Q50" si="36">M50</f>
        <v>4487.6000000000004</v>
      </c>
      <c r="O50" s="58">
        <f t="shared" si="36"/>
        <v>4487.6000000000004</v>
      </c>
      <c r="P50" s="58">
        <f t="shared" si="36"/>
        <v>4487.6000000000004</v>
      </c>
      <c r="Q50" s="58">
        <f t="shared" si="36"/>
        <v>4487.6000000000004</v>
      </c>
    </row>
    <row r="51" spans="1:17" ht="17.25" thickBot="1">
      <c r="D51" s="74" t="s">
        <v>74</v>
      </c>
      <c r="E51" s="74"/>
      <c r="F51" s="79" t="s">
        <v>112</v>
      </c>
      <c r="G51" s="74"/>
      <c r="H51" s="75">
        <f>H49+H50+H45</f>
        <v>115192.6</v>
      </c>
      <c r="I51" s="75">
        <f t="shared" ref="I51:K51" si="37">I49+I50+I45</f>
        <v>140691.9</v>
      </c>
      <c r="J51" s="75">
        <f t="shared" si="37"/>
        <v>137566.5</v>
      </c>
      <c r="K51" s="75">
        <f t="shared" si="37"/>
        <v>155749</v>
      </c>
      <c r="L51" s="75">
        <f>L49+L50+Model!L45</f>
        <v>176848.1</v>
      </c>
      <c r="M51" s="75">
        <f>M49+M50+Model!M45</f>
        <v>191132.10534259182</v>
      </c>
      <c r="N51" s="75">
        <f>N49+N50+Model!N45</f>
        <v>207717.82034033441</v>
      </c>
      <c r="O51" s="75">
        <f>O49+O50+Model!O45</f>
        <v>225120.01310243821</v>
      </c>
      <c r="P51" s="75">
        <f>P49+P50+Model!P45</f>
        <v>246681.17396529441</v>
      </c>
      <c r="Q51" s="75">
        <f>Q49+Q50+Model!Q45</f>
        <v>254169.49833039279</v>
      </c>
    </row>
    <row r="52" spans="1:17" ht="15.75" thickTop="1"/>
    <row r="53" spans="1:17" ht="17.25">
      <c r="A53" s="51" t="s">
        <v>136</v>
      </c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</row>
    <row r="55" spans="1:17" ht="16.5">
      <c r="A55" s="8"/>
      <c r="B55" s="8"/>
      <c r="C55" s="1" t="s">
        <v>193</v>
      </c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</row>
    <row r="56" spans="1:17" ht="16.5">
      <c r="A56" s="8"/>
      <c r="B56" s="8"/>
      <c r="C56" s="8"/>
      <c r="D56" s="8" t="s">
        <v>111</v>
      </c>
      <c r="E56" s="8"/>
      <c r="F56" s="61" t="s">
        <v>112</v>
      </c>
      <c r="G56" s="8"/>
      <c r="H56" s="65">
        <f>Sheet1!H100+Sheet1!H128</f>
        <v>14414.2</v>
      </c>
      <c r="I56" s="65">
        <f>Sheet1!I100+Sheet1!I128</f>
        <v>14473.8</v>
      </c>
      <c r="J56" s="65">
        <f>Sheet1!J100+Sheet1!J128</f>
        <v>10313.1</v>
      </c>
      <c r="K56" s="65">
        <f>Sheet1!K100+Sheet1!K128</f>
        <v>16161.9</v>
      </c>
      <c r="L56" s="65">
        <f>Sheet1!L100+Sheet1!L128</f>
        <v>20230.099999999999</v>
      </c>
      <c r="M56" s="58">
        <f>M19</f>
        <v>21629.162907610138</v>
      </c>
      <c r="N56" s="58">
        <f t="shared" ref="N56:Q56" si="38">N19</f>
        <v>22341.745228317715</v>
      </c>
      <c r="O56" s="58">
        <f t="shared" si="38"/>
        <v>23637.689153901119</v>
      </c>
      <c r="P56" s="58">
        <f t="shared" si="38"/>
        <v>27551.18672440105</v>
      </c>
      <c r="Q56" s="58">
        <f t="shared" si="38"/>
        <v>28793.871887658839</v>
      </c>
    </row>
    <row r="57" spans="1:17" ht="16.5">
      <c r="A57" s="8"/>
      <c r="B57" s="8"/>
      <c r="C57" s="8"/>
      <c r="D57" s="8" t="s">
        <v>194</v>
      </c>
      <c r="E57" s="8"/>
      <c r="F57" s="61" t="s">
        <v>112</v>
      </c>
      <c r="G57" s="8"/>
      <c r="H57" s="65">
        <f>Sheet1!H102</f>
        <v>2745.8</v>
      </c>
      <c r="I57" s="65">
        <f>Sheet1!I102</f>
        <v>3039.6</v>
      </c>
      <c r="J57" s="65">
        <f>Sheet1!J102</f>
        <v>3104.2</v>
      </c>
      <c r="K57" s="65">
        <f>Sheet1!K102</f>
        <v>2993</v>
      </c>
      <c r="L57" s="65">
        <f>Sheet1!L102</f>
        <v>3571.6</v>
      </c>
      <c r="M57" s="58">
        <f>-M95</f>
        <v>3500.6720450821608</v>
      </c>
      <c r="N57" s="58">
        <f t="shared" ref="N57:Q57" si="39">-N95</f>
        <v>3407.6778077103368</v>
      </c>
      <c r="O57" s="58">
        <f t="shared" si="39"/>
        <v>3321.6489339370096</v>
      </c>
      <c r="P57" s="58">
        <f t="shared" si="39"/>
        <v>3182.5565202382095</v>
      </c>
      <c r="Q57" s="58">
        <f t="shared" si="39"/>
        <v>2984.8573042403759</v>
      </c>
    </row>
    <row r="58" spans="1:17" ht="16.5">
      <c r="A58" s="8"/>
      <c r="B58" s="8"/>
      <c r="C58" s="8"/>
      <c r="D58" s="8" t="s">
        <v>195</v>
      </c>
      <c r="E58" s="8"/>
      <c r="F58" s="61" t="s">
        <v>112</v>
      </c>
      <c r="G58" s="8"/>
      <c r="H58" s="65">
        <f>Sheet1!H118-Sheet1!H102</f>
        <v>-1099.4000000000003</v>
      </c>
      <c r="I58" s="65">
        <f>Sheet1!I118-Sheet1!I102</f>
        <v>-953.59999999999991</v>
      </c>
      <c r="J58" s="65">
        <f>Sheet1!J118-Sheet1!J102</f>
        <v>139.29999999999973</v>
      </c>
      <c r="K58" s="65">
        <f>Sheet1!K118-Sheet1!K102</f>
        <v>842.70000000000027</v>
      </c>
      <c r="L58" s="65">
        <f>Sheet1!L118-Sheet1!L102</f>
        <v>-2533.5999999999995</v>
      </c>
      <c r="M58" s="58">
        <f>-M15-M16</f>
        <v>-2127.1707553459391</v>
      </c>
      <c r="N58" s="58">
        <f t="shared" ref="N58:Q58" si="40">-N15-N16</f>
        <v>-2145.4559250369357</v>
      </c>
      <c r="O58" s="58">
        <f t="shared" si="40"/>
        <v>-2510.7509514409608</v>
      </c>
      <c r="P58" s="58">
        <f t="shared" si="40"/>
        <v>-3031.4266384123466</v>
      </c>
      <c r="Q58" s="58">
        <f t="shared" si="40"/>
        <v>-3512.5000381714844</v>
      </c>
    </row>
    <row r="59" spans="1:17" ht="16.5">
      <c r="A59" s="8"/>
      <c r="B59" s="8"/>
      <c r="C59" s="8"/>
      <c r="D59" s="8" t="s">
        <v>196</v>
      </c>
      <c r="E59" s="8"/>
      <c r="F59" s="61" t="s">
        <v>112</v>
      </c>
      <c r="G59" s="8"/>
      <c r="H59" s="65">
        <f>H90</f>
        <v>-3411.6000000000004</v>
      </c>
      <c r="I59" s="65">
        <f t="shared" ref="I59:L59" si="41">I90</f>
        <v>-5449.6</v>
      </c>
      <c r="J59" s="65">
        <f t="shared" si="41"/>
        <v>3267.7000000000003</v>
      </c>
      <c r="K59" s="65">
        <f t="shared" si="41"/>
        <v>-516.90000000000009</v>
      </c>
      <c r="L59" s="65">
        <f t="shared" si="41"/>
        <v>-2139.7000000000003</v>
      </c>
      <c r="M59" s="58">
        <f>M90</f>
        <v>-7368.2202831364957</v>
      </c>
      <c r="N59" s="58">
        <f t="shared" ref="N59:Q59" si="42">N90</f>
        <v>-2657.2455922182562</v>
      </c>
      <c r="O59" s="58">
        <f t="shared" si="42"/>
        <v>-924.5712270262884</v>
      </c>
      <c r="P59" s="58">
        <f t="shared" si="42"/>
        <v>-1892.1858662275226</v>
      </c>
      <c r="Q59" s="58">
        <f t="shared" si="42"/>
        <v>-16633.85424811851</v>
      </c>
    </row>
    <row r="60" spans="1:17" ht="16.5">
      <c r="A60" s="8"/>
      <c r="B60" s="8"/>
      <c r="C60" s="8"/>
      <c r="D60" s="55" t="s">
        <v>197</v>
      </c>
      <c r="E60" s="55"/>
      <c r="F60" s="55"/>
      <c r="G60" s="55"/>
      <c r="H60" s="60">
        <f>SUM(H56:H59)</f>
        <v>12649</v>
      </c>
      <c r="I60" s="60">
        <f t="shared" ref="I60:Q60" si="43">SUM(I56:I59)</f>
        <v>11110.199999999999</v>
      </c>
      <c r="J60" s="60">
        <f t="shared" si="43"/>
        <v>16824.3</v>
      </c>
      <c r="K60" s="60">
        <f t="shared" si="43"/>
        <v>19480.7</v>
      </c>
      <c r="L60" s="60">
        <f t="shared" si="43"/>
        <v>19128.399999999998</v>
      </c>
      <c r="M60" s="60">
        <f t="shared" si="43"/>
        <v>15634.443914209864</v>
      </c>
      <c r="N60" s="60">
        <f t="shared" si="43"/>
        <v>20946.721518772862</v>
      </c>
      <c r="O60" s="60">
        <f t="shared" si="43"/>
        <v>23524.015909370879</v>
      </c>
      <c r="P60" s="60">
        <f t="shared" si="43"/>
        <v>25810.130739999389</v>
      </c>
      <c r="Q60" s="60">
        <f t="shared" si="43"/>
        <v>11632.37490560922</v>
      </c>
    </row>
    <row r="61" spans="1:17" ht="16.5">
      <c r="A61" s="8"/>
      <c r="B61" s="8"/>
      <c r="C61" s="8"/>
      <c r="D61" s="8"/>
      <c r="E61" s="8"/>
      <c r="F61" s="8"/>
      <c r="G61" s="8"/>
      <c r="H61" s="58"/>
      <c r="I61" s="58"/>
      <c r="J61" s="58"/>
      <c r="K61" s="58"/>
      <c r="L61" s="58"/>
      <c r="M61" s="58"/>
      <c r="N61" s="58"/>
      <c r="O61" s="58"/>
      <c r="P61" s="58"/>
      <c r="Q61" s="58"/>
    </row>
    <row r="62" spans="1:17" ht="16.5">
      <c r="A62" s="8"/>
      <c r="B62" s="8"/>
      <c r="C62" s="1" t="s">
        <v>198</v>
      </c>
      <c r="D62" s="8"/>
      <c r="E62" s="8"/>
      <c r="F62" s="8"/>
      <c r="G62" s="8"/>
      <c r="H62" s="58"/>
      <c r="I62" s="58"/>
      <c r="J62" s="58"/>
      <c r="K62" s="58"/>
      <c r="L62" s="58"/>
      <c r="M62" s="58"/>
      <c r="N62" s="58"/>
      <c r="O62" s="58"/>
      <c r="P62" s="58"/>
      <c r="Q62" s="58"/>
    </row>
    <row r="63" spans="1:17" ht="16.5">
      <c r="A63" s="8"/>
      <c r="B63" s="8"/>
      <c r="C63" s="8"/>
      <c r="D63" s="8" t="s">
        <v>199</v>
      </c>
      <c r="E63" s="8"/>
      <c r="F63" s="61" t="s">
        <v>112</v>
      </c>
      <c r="G63" s="8"/>
      <c r="H63" s="65">
        <f>Sheet1!H132</f>
        <v>-1949.1</v>
      </c>
      <c r="I63" s="65">
        <f>Sheet1!I132</f>
        <v>-3388.8</v>
      </c>
      <c r="J63" s="65">
        <f>Sheet1!J132</f>
        <v>-2329.1</v>
      </c>
      <c r="K63" s="65">
        <f>Sheet1!K132</f>
        <v>-2592.9</v>
      </c>
      <c r="L63" s="65">
        <f>Sheet1!L132</f>
        <v>-6756.2</v>
      </c>
      <c r="M63" s="58">
        <f>-M94</f>
        <v>-2709.7697567945015</v>
      </c>
      <c r="N63" s="58">
        <f t="shared" ref="N63:Q63" si="44">-N94</f>
        <v>-2164.8062675539327</v>
      </c>
      <c r="O63" s="58">
        <f t="shared" si="44"/>
        <v>-1712.5104522851634</v>
      </c>
      <c r="P63" s="58">
        <f t="shared" si="44"/>
        <v>-1344.1757391962603</v>
      </c>
      <c r="Q63" s="58">
        <f t="shared" si="44"/>
        <v>-1048.6896313447253</v>
      </c>
    </row>
    <row r="64" spans="1:17" ht="16.5">
      <c r="A64" s="8"/>
      <c r="B64" s="8"/>
      <c r="C64" s="8"/>
      <c r="D64" s="8" t="s">
        <v>200</v>
      </c>
      <c r="E64" s="8"/>
      <c r="F64" s="61" t="s">
        <v>112</v>
      </c>
      <c r="G64" s="8"/>
      <c r="H64" s="65">
        <f>Sheet1!H134</f>
        <v>104.6</v>
      </c>
      <c r="I64" s="65">
        <f>Sheet1!I134</f>
        <v>109</v>
      </c>
      <c r="J64" s="65">
        <f>Sheet1!J134</f>
        <v>32</v>
      </c>
      <c r="K64" s="65">
        <f>Sheet1!K134</f>
        <v>0</v>
      </c>
      <c r="L64" s="65">
        <f>Sheet1!L134</f>
        <v>0</v>
      </c>
      <c r="M64" s="58">
        <v>0</v>
      </c>
      <c r="N64" s="58">
        <v>0</v>
      </c>
      <c r="O64" s="58">
        <v>0</v>
      </c>
      <c r="P64" s="58">
        <v>0</v>
      </c>
      <c r="Q64" s="58">
        <v>0</v>
      </c>
    </row>
    <row r="65" spans="1:17" ht="16.5">
      <c r="A65" s="8"/>
      <c r="B65" s="8"/>
      <c r="C65" s="8"/>
      <c r="D65" s="8" t="s">
        <v>188</v>
      </c>
      <c r="E65" s="8"/>
      <c r="F65" s="61" t="s">
        <v>112</v>
      </c>
      <c r="G65" s="8"/>
      <c r="H65" s="65">
        <f>Sheet1!H133</f>
        <v>0</v>
      </c>
      <c r="I65" s="65">
        <f>Sheet1!I133</f>
        <v>0</v>
      </c>
      <c r="J65" s="65">
        <f>Sheet1!J133</f>
        <v>0</v>
      </c>
      <c r="K65" s="65">
        <f>Sheet1!K133</f>
        <v>724.8</v>
      </c>
      <c r="L65" s="65">
        <f>Sheet1!L133</f>
        <v>408.4</v>
      </c>
      <c r="M65" s="58">
        <v>0</v>
      </c>
      <c r="N65" s="58">
        <v>0</v>
      </c>
      <c r="O65" s="58">
        <v>0</v>
      </c>
      <c r="P65" s="58">
        <v>0</v>
      </c>
      <c r="Q65" s="58">
        <v>0</v>
      </c>
    </row>
    <row r="66" spans="1:17" ht="16.5">
      <c r="A66" s="8"/>
      <c r="B66" s="8"/>
      <c r="C66" s="8"/>
      <c r="D66" s="8" t="s">
        <v>201</v>
      </c>
      <c r="E66" s="8"/>
      <c r="F66" s="61" t="s">
        <v>112</v>
      </c>
      <c r="G66" s="8"/>
      <c r="H66" s="65">
        <f>Sheet1!H136+Sheet1!H137+Sheet1!H135+Sheet1!H138+Sheet1!H139+Sheet1!H140+Sheet1!H141</f>
        <v>-8935.1999999999989</v>
      </c>
      <c r="I66" s="65">
        <f>Sheet1!I136+Sheet1!I137+Sheet1!I135+Sheet1!I138+Sheet1!I139+Sheet1!I140+Sheet1!I141</f>
        <v>-12051.099999999999</v>
      </c>
      <c r="J66" s="65">
        <f>Sheet1!J136+Sheet1!J137+Sheet1!J135+Sheet1!J138+Sheet1!J139+Sheet1!J140+Sheet1!J141</f>
        <v>1954.5</v>
      </c>
      <c r="K66" s="65">
        <f>Sheet1!K136+Sheet1!K137+Sheet1!K135+Sheet1!K138+Sheet1!K139+Sheet1!K140+Sheet1!K141</f>
        <v>-10611.600000000006</v>
      </c>
      <c r="L66" s="65">
        <f>Sheet1!L136+Sheet1!L137+Sheet1!L135+Sheet1!L138+Sheet1!L139+Sheet1!L140+Sheet1!L141</f>
        <v>-10118.600000000006</v>
      </c>
      <c r="M66" s="58">
        <f>L34-M34</f>
        <v>0</v>
      </c>
      <c r="N66" s="58">
        <f t="shared" ref="N66:Q66" si="45">M34-N34</f>
        <v>0</v>
      </c>
      <c r="O66" s="58">
        <f t="shared" si="45"/>
        <v>0</v>
      </c>
      <c r="P66" s="58">
        <f t="shared" si="45"/>
        <v>0</v>
      </c>
      <c r="Q66" s="58">
        <f t="shared" si="45"/>
        <v>0</v>
      </c>
    </row>
    <row r="67" spans="1:17" ht="16.5">
      <c r="A67" s="8"/>
      <c r="B67" s="8"/>
      <c r="C67" s="8"/>
      <c r="D67" s="8" t="s">
        <v>171</v>
      </c>
      <c r="E67" s="8"/>
      <c r="F67" s="61" t="s">
        <v>112</v>
      </c>
      <c r="G67" s="8"/>
      <c r="H67" s="65">
        <f>Sheet1!H142</f>
        <v>0.2</v>
      </c>
      <c r="I67" s="65">
        <f>Sheet1!I142</f>
        <v>1.9</v>
      </c>
      <c r="J67" s="65">
        <f>Sheet1!J142</f>
        <v>1.9</v>
      </c>
      <c r="K67" s="65">
        <f>Sheet1!K142</f>
        <v>1.9</v>
      </c>
      <c r="L67" s="65">
        <f>Sheet1!L142</f>
        <v>1.7</v>
      </c>
      <c r="M67" s="58"/>
      <c r="N67" s="58"/>
      <c r="O67" s="58"/>
      <c r="P67" s="58"/>
      <c r="Q67" s="58"/>
    </row>
    <row r="68" spans="1:17" ht="16.5">
      <c r="A68" s="8"/>
      <c r="B68" s="8"/>
      <c r="C68" s="8"/>
      <c r="D68" s="8" t="s">
        <v>172</v>
      </c>
      <c r="E68" s="8"/>
      <c r="F68" s="61" t="s">
        <v>112</v>
      </c>
      <c r="G68" s="8"/>
      <c r="H68" s="65">
        <f>Sheet1!H143</f>
        <v>785.7</v>
      </c>
      <c r="I68" s="65">
        <f>Sheet1!I143</f>
        <v>977.7</v>
      </c>
      <c r="J68" s="65">
        <f>Sheet1!J143</f>
        <v>1469.1</v>
      </c>
      <c r="K68" s="65">
        <f>Sheet1!K143</f>
        <v>2392.6</v>
      </c>
      <c r="L68" s="65">
        <f>Sheet1!L143</f>
        <v>3477.1</v>
      </c>
      <c r="M68" s="58">
        <f>M16</f>
        <v>2941.0238039108294</v>
      </c>
      <c r="N68" s="58">
        <f t="shared" ref="N68:Q68" si="46">N16</f>
        <v>2959.308973601826</v>
      </c>
      <c r="O68" s="58">
        <f t="shared" si="46"/>
        <v>3427.1764416580058</v>
      </c>
      <c r="P68" s="58">
        <f t="shared" si="46"/>
        <v>4012.4071570990991</v>
      </c>
      <c r="Q68" s="58">
        <f t="shared" si="46"/>
        <v>4444.737012108606</v>
      </c>
    </row>
    <row r="69" spans="1:17" ht="16.5">
      <c r="A69" s="8"/>
      <c r="B69" s="8"/>
      <c r="C69" s="8"/>
      <c r="D69" s="8" t="s">
        <v>173</v>
      </c>
      <c r="E69" s="8"/>
      <c r="F69" s="61" t="s">
        <v>112</v>
      </c>
      <c r="G69" s="8"/>
      <c r="H69" s="65">
        <f>Sheet1!H144</f>
        <v>8.4</v>
      </c>
      <c r="I69" s="65">
        <f>Sheet1!I144</f>
        <v>0</v>
      </c>
      <c r="J69" s="65">
        <f>Sheet1!J144</f>
        <v>0</v>
      </c>
      <c r="K69" s="65">
        <f>Sheet1!K144</f>
        <v>0</v>
      </c>
      <c r="L69" s="65">
        <f>Sheet1!L144</f>
        <v>0</v>
      </c>
      <c r="M69" s="58">
        <v>0</v>
      </c>
      <c r="N69" s="58">
        <v>0</v>
      </c>
      <c r="O69" s="58">
        <v>0</v>
      </c>
      <c r="P69" s="58">
        <v>0</v>
      </c>
      <c r="Q69" s="58">
        <v>0</v>
      </c>
    </row>
    <row r="70" spans="1:17" ht="16.5">
      <c r="A70" s="8"/>
      <c r="B70" s="8"/>
      <c r="C70" s="8"/>
      <c r="D70" s="55" t="s">
        <v>202</v>
      </c>
      <c r="E70" s="55"/>
      <c r="F70" s="55"/>
      <c r="G70" s="55"/>
      <c r="H70" s="60">
        <f>SUM(H63:H69)</f>
        <v>-9985.3999999999978</v>
      </c>
      <c r="I70" s="60">
        <f t="shared" ref="I70:Q70" si="47">SUM(I63:I69)</f>
        <v>-14351.299999999997</v>
      </c>
      <c r="J70" s="60">
        <f t="shared" si="47"/>
        <v>1128.4000000000001</v>
      </c>
      <c r="K70" s="60">
        <f t="shared" si="47"/>
        <v>-10085.200000000006</v>
      </c>
      <c r="L70" s="60">
        <f t="shared" si="47"/>
        <v>-12987.600000000004</v>
      </c>
      <c r="M70" s="60">
        <f t="shared" si="47"/>
        <v>231.25404711632791</v>
      </c>
      <c r="N70" s="60">
        <f t="shared" si="47"/>
        <v>794.5027060478933</v>
      </c>
      <c r="O70" s="60">
        <f t="shared" si="47"/>
        <v>1714.6659893728424</v>
      </c>
      <c r="P70" s="60">
        <f t="shared" si="47"/>
        <v>2668.231417902839</v>
      </c>
      <c r="Q70" s="60">
        <f t="shared" si="47"/>
        <v>3396.0473807638809</v>
      </c>
    </row>
    <row r="71" spans="1:17" ht="16.5">
      <c r="A71" s="8"/>
      <c r="B71" s="8"/>
      <c r="C71" s="8"/>
      <c r="D71" s="8"/>
      <c r="E71" s="8"/>
      <c r="F71" s="8"/>
      <c r="G71" s="8"/>
      <c r="H71" s="58"/>
      <c r="I71" s="58"/>
      <c r="J71" s="58"/>
      <c r="K71" s="58"/>
      <c r="L71" s="58"/>
      <c r="M71" s="58"/>
      <c r="N71" s="58"/>
      <c r="O71" s="58"/>
      <c r="P71" s="58"/>
      <c r="Q71" s="58"/>
    </row>
    <row r="72" spans="1:17" ht="16.5">
      <c r="A72" s="8"/>
      <c r="B72" s="8"/>
      <c r="C72" s="1" t="s">
        <v>203</v>
      </c>
      <c r="D72" s="8"/>
      <c r="E72" s="8"/>
      <c r="F72" s="8"/>
      <c r="G72" s="8"/>
      <c r="H72" s="58"/>
      <c r="I72" s="58"/>
      <c r="J72" s="58"/>
      <c r="K72" s="58"/>
      <c r="L72" s="58"/>
      <c r="M72" s="58"/>
      <c r="N72" s="58"/>
      <c r="O72" s="58"/>
      <c r="P72" s="58"/>
      <c r="Q72" s="58"/>
    </row>
    <row r="73" spans="1:17" ht="16.5">
      <c r="A73" s="8"/>
      <c r="B73" s="8"/>
      <c r="C73" s="8"/>
      <c r="D73" s="8" t="s">
        <v>204</v>
      </c>
      <c r="E73" s="8"/>
      <c r="F73" s="61" t="s">
        <v>112</v>
      </c>
      <c r="G73" s="8"/>
      <c r="H73" s="65">
        <f>Sheet1!H148+Sheet1!H149+Sheet1!H152</f>
        <v>1166.5000000000002</v>
      </c>
      <c r="I73" s="65">
        <f>Sheet1!I148+Sheet1!I149+Sheet1!I152</f>
        <v>8416.1</v>
      </c>
      <c r="J73" s="65">
        <f>Sheet1!J148+Sheet1!J149+Sheet1!J152</f>
        <v>-13023.199999999999</v>
      </c>
      <c r="K73" s="65">
        <f>Sheet1!K148+Sheet1!K149+Sheet1!K152</f>
        <v>-5132.0999999999995</v>
      </c>
      <c r="L73" s="65">
        <f>Sheet1!L148+Sheet1!L149+Sheet1!L152</f>
        <v>-2257.6000000000004</v>
      </c>
      <c r="M73" s="58">
        <f>M100</f>
        <v>0</v>
      </c>
      <c r="N73" s="58">
        <f t="shared" ref="N73:Q73" si="48">N100</f>
        <v>0</v>
      </c>
      <c r="O73" s="58">
        <f t="shared" si="48"/>
        <v>0</v>
      </c>
      <c r="P73" s="58">
        <f t="shared" si="48"/>
        <v>0</v>
      </c>
      <c r="Q73" s="58">
        <f t="shared" si="48"/>
        <v>0</v>
      </c>
    </row>
    <row r="74" spans="1:17" ht="16.5">
      <c r="A74" s="8"/>
      <c r="B74" s="8"/>
      <c r="C74" s="8"/>
      <c r="D74" s="8" t="s">
        <v>205</v>
      </c>
      <c r="E74" s="8"/>
      <c r="F74" s="61" t="s">
        <v>112</v>
      </c>
      <c r="G74" s="8"/>
      <c r="H74" s="65">
        <f>Sheet1!H150</f>
        <v>0</v>
      </c>
      <c r="I74" s="65">
        <f>Sheet1!I150</f>
        <v>0</v>
      </c>
      <c r="J74" s="65">
        <f>Sheet1!J150</f>
        <v>1614</v>
      </c>
      <c r="K74" s="65">
        <f>Sheet1!K150</f>
        <v>0</v>
      </c>
      <c r="L74" s="65">
        <f>Sheet1!L150</f>
        <v>0</v>
      </c>
      <c r="M74" s="58">
        <f>L74</f>
        <v>0</v>
      </c>
      <c r="N74" s="58">
        <f t="shared" ref="N74:Q74" si="49">M74</f>
        <v>0</v>
      </c>
      <c r="O74" s="58">
        <f t="shared" si="49"/>
        <v>0</v>
      </c>
      <c r="P74" s="58">
        <f t="shared" si="49"/>
        <v>0</v>
      </c>
      <c r="Q74" s="58">
        <f t="shared" si="49"/>
        <v>0</v>
      </c>
    </row>
    <row r="75" spans="1:17" ht="16.5">
      <c r="A75" s="8"/>
      <c r="B75" s="8"/>
      <c r="C75" s="8"/>
      <c r="D75" s="8" t="s">
        <v>206</v>
      </c>
      <c r="E75" s="8"/>
      <c r="F75" s="61" t="s">
        <v>112</v>
      </c>
      <c r="G75" s="8"/>
      <c r="H75" s="65">
        <f>Sheet1!H151</f>
        <v>-3347.8</v>
      </c>
      <c r="I75" s="65">
        <f>Sheet1!I151</f>
        <v>-4219.2</v>
      </c>
      <c r="J75" s="65">
        <f>Sheet1!J151</f>
        <v>-5295.2</v>
      </c>
      <c r="K75" s="65">
        <f>Sheet1!K151</f>
        <v>-5404.9</v>
      </c>
      <c r="L75" s="65">
        <f>Sheet1!L151</f>
        <v>-5046.2</v>
      </c>
      <c r="M75" s="58">
        <f>-M19*M115</f>
        <v>-6532.2743655866307</v>
      </c>
      <c r="N75" s="58">
        <f t="shared" ref="N75:Q75" si="50">-N19*N115</f>
        <v>-7278.5081665913131</v>
      </c>
      <c r="O75" s="58">
        <f t="shared" si="50"/>
        <v>-8001.5935757563593</v>
      </c>
      <c r="P75" s="58">
        <f t="shared" si="50"/>
        <v>-7947.7058975453656</v>
      </c>
      <c r="Q75" s="58">
        <f t="shared" si="50"/>
        <v>-8595.1116970360581</v>
      </c>
    </row>
    <row r="76" spans="1:17" ht="16.5">
      <c r="A76" s="8"/>
      <c r="B76" s="8"/>
      <c r="C76" s="8"/>
      <c r="D76" s="8" t="s">
        <v>207</v>
      </c>
      <c r="E76" s="8"/>
      <c r="F76" s="61" t="s">
        <v>112</v>
      </c>
      <c r="G76" s="8"/>
      <c r="H76" s="65">
        <f>Sheet1!H153</f>
        <v>-536.20000000000005</v>
      </c>
      <c r="I76" s="65">
        <f>Sheet1!I153</f>
        <v>-401.3</v>
      </c>
      <c r="J76" s="65">
        <f>Sheet1!J153</f>
        <v>-904.6</v>
      </c>
      <c r="K76" s="65">
        <f>Sheet1!K153</f>
        <v>-913.1</v>
      </c>
      <c r="L76" s="65">
        <f>Sheet1!L153</f>
        <v>-806.1</v>
      </c>
      <c r="M76" s="58">
        <f>M102</f>
        <v>-813.85304856489029</v>
      </c>
      <c r="N76" s="58">
        <f t="shared" ref="N76:Q76" si="51">N102</f>
        <v>-813.85304856489029</v>
      </c>
      <c r="O76" s="58">
        <f t="shared" si="51"/>
        <v>-916.42549021704497</v>
      </c>
      <c r="P76" s="58">
        <f t="shared" si="51"/>
        <v>-980.98051868675225</v>
      </c>
      <c r="Q76" s="58">
        <f t="shared" si="51"/>
        <v>-932.23697393712155</v>
      </c>
    </row>
    <row r="77" spans="1:17" ht="16.5">
      <c r="A77" s="8"/>
      <c r="B77" s="8"/>
      <c r="C77" s="8"/>
      <c r="D77" s="55" t="s">
        <v>208</v>
      </c>
      <c r="E77" s="53"/>
      <c r="F77" s="53"/>
      <c r="G77" s="53"/>
      <c r="H77" s="60">
        <f>SUM(H73:H76)</f>
        <v>-2717.5</v>
      </c>
      <c r="I77" s="60">
        <f t="shared" ref="I77:Q77" si="52">SUM(I73:I76)</f>
        <v>3795.6000000000004</v>
      </c>
      <c r="J77" s="60">
        <f t="shared" si="52"/>
        <v>-17608.999999999996</v>
      </c>
      <c r="K77" s="60">
        <f t="shared" si="52"/>
        <v>-11450.1</v>
      </c>
      <c r="L77" s="60">
        <f t="shared" si="52"/>
        <v>-8109.9000000000005</v>
      </c>
      <c r="M77" s="60">
        <f t="shared" si="52"/>
        <v>-7346.1274141515205</v>
      </c>
      <c r="N77" s="60">
        <f t="shared" si="52"/>
        <v>-8092.3612151562029</v>
      </c>
      <c r="O77" s="60">
        <f t="shared" si="52"/>
        <v>-8918.0190659734035</v>
      </c>
      <c r="P77" s="60">
        <f t="shared" si="52"/>
        <v>-8928.6864162321181</v>
      </c>
      <c r="Q77" s="60">
        <f t="shared" si="52"/>
        <v>-9527.3486709731806</v>
      </c>
    </row>
    <row r="78" spans="1:17" ht="16.5">
      <c r="A78" s="8"/>
      <c r="B78" s="8"/>
      <c r="C78" s="8"/>
      <c r="D78" s="8"/>
      <c r="E78" s="8"/>
      <c r="F78" s="8"/>
      <c r="G78" s="8"/>
      <c r="H78" s="58"/>
      <c r="I78" s="58"/>
      <c r="J78" s="58"/>
      <c r="K78" s="58"/>
      <c r="L78" s="58"/>
      <c r="M78" s="58"/>
      <c r="N78" s="58"/>
      <c r="O78" s="58"/>
      <c r="P78" s="58"/>
      <c r="Q78" s="58"/>
    </row>
    <row r="79" spans="1:17" ht="16.5">
      <c r="A79" s="8"/>
      <c r="B79" s="8"/>
      <c r="C79" s="8"/>
      <c r="D79" s="8" t="s">
        <v>209</v>
      </c>
      <c r="E79" s="8"/>
      <c r="F79" s="61" t="s">
        <v>112</v>
      </c>
      <c r="G79" s="8"/>
      <c r="H79" s="65">
        <f>H60+H70+H77</f>
        <v>-53.899999999997817</v>
      </c>
      <c r="I79" s="65">
        <f t="shared" ref="I79:Q79" si="53">I60+I70+I77</f>
        <v>554.50000000000182</v>
      </c>
      <c r="J79" s="65">
        <f t="shared" si="53"/>
        <v>343.70000000000437</v>
      </c>
      <c r="K79" s="65">
        <f t="shared" si="53"/>
        <v>-2054.6000000000058</v>
      </c>
      <c r="L79" s="65">
        <f t="shared" si="53"/>
        <v>-1969.1000000000067</v>
      </c>
      <c r="M79" s="64">
        <f t="shared" si="53"/>
        <v>8519.5705471746714</v>
      </c>
      <c r="N79" s="64">
        <f t="shared" si="53"/>
        <v>13648.863009664552</v>
      </c>
      <c r="O79" s="64">
        <f t="shared" si="53"/>
        <v>16320.662832770318</v>
      </c>
      <c r="P79" s="64">
        <f t="shared" si="53"/>
        <v>19549.675741670111</v>
      </c>
      <c r="Q79" s="64">
        <f t="shared" si="53"/>
        <v>5501.0736153999205</v>
      </c>
    </row>
    <row r="80" spans="1:17" ht="16.5">
      <c r="A80" s="8"/>
      <c r="B80" s="8"/>
      <c r="C80" s="8"/>
      <c r="D80" s="8" t="s">
        <v>210</v>
      </c>
      <c r="E80" s="8"/>
      <c r="F80" s="61" t="s">
        <v>112</v>
      </c>
      <c r="G80" s="8"/>
      <c r="H80" s="65">
        <f>Sheet1!H156+Sheet1!H157</f>
        <v>1796.1000000000001</v>
      </c>
      <c r="I80" s="65">
        <f>Sheet1!I156+Sheet1!I157</f>
        <v>1767</v>
      </c>
      <c r="J80" s="65">
        <f>Sheet1!J156+Sheet1!J157</f>
        <v>2392.8000000000002</v>
      </c>
      <c r="K80" s="65">
        <f>Sheet1!K156+Sheet1!K157</f>
        <v>2717.5</v>
      </c>
      <c r="L80" s="65">
        <f>Sheet1!L156+Sheet1!L157</f>
        <v>768.2</v>
      </c>
      <c r="M80" s="58">
        <f>L81</f>
        <v>-1200.9000000000067</v>
      </c>
      <c r="N80" s="58">
        <f t="shared" ref="N80:Q80" si="54">M81</f>
        <v>7318.6705471746645</v>
      </c>
      <c r="O80" s="58">
        <f t="shared" si="54"/>
        <v>20967.533556839218</v>
      </c>
      <c r="P80" s="58">
        <f t="shared" si="54"/>
        <v>37288.19638960954</v>
      </c>
      <c r="Q80" s="58">
        <f t="shared" si="54"/>
        <v>56837.872131279655</v>
      </c>
    </row>
    <row r="81" spans="1:17" ht="17.25" thickBot="1">
      <c r="A81" s="8"/>
      <c r="B81" s="8"/>
      <c r="C81" s="8"/>
      <c r="D81" s="57" t="s">
        <v>211</v>
      </c>
      <c r="E81" s="57"/>
      <c r="F81" s="57"/>
      <c r="G81" s="57"/>
      <c r="H81" s="59">
        <f>SUM(H79:H80)</f>
        <v>1742.2000000000023</v>
      </c>
      <c r="I81" s="59">
        <f t="shared" ref="I81:Q81" si="55">SUM(I79:I80)</f>
        <v>2321.5000000000018</v>
      </c>
      <c r="J81" s="59">
        <f t="shared" si="55"/>
        <v>2736.5000000000045</v>
      </c>
      <c r="K81" s="59">
        <f t="shared" si="55"/>
        <v>662.89999999999418</v>
      </c>
      <c r="L81" s="59">
        <f t="shared" si="55"/>
        <v>-1200.9000000000067</v>
      </c>
      <c r="M81" s="59">
        <f t="shared" si="55"/>
        <v>7318.6705471746645</v>
      </c>
      <c r="N81" s="59">
        <f t="shared" si="55"/>
        <v>20967.533556839218</v>
      </c>
      <c r="O81" s="59">
        <f t="shared" si="55"/>
        <v>37288.19638960954</v>
      </c>
      <c r="P81" s="59">
        <f t="shared" si="55"/>
        <v>56837.872131279655</v>
      </c>
      <c r="Q81" s="59">
        <f t="shared" si="55"/>
        <v>62338.945746679572</v>
      </c>
    </row>
    <row r="82" spans="1:17" ht="17.25" thickTop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</row>
    <row r="83" spans="1:17" ht="17.25">
      <c r="A83" s="51" t="s">
        <v>212</v>
      </c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</row>
    <row r="84" spans="1:17" ht="16.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</row>
    <row r="85" spans="1:17" ht="16.5">
      <c r="A85" s="8"/>
      <c r="B85" s="8"/>
      <c r="C85" s="1" t="s">
        <v>213</v>
      </c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</row>
    <row r="86" spans="1:17" ht="16.5">
      <c r="A86" s="8"/>
      <c r="B86" s="8"/>
      <c r="C86" s="8"/>
      <c r="D86" s="8" t="s">
        <v>214</v>
      </c>
      <c r="E86" s="8"/>
      <c r="F86" s="61" t="s">
        <v>112</v>
      </c>
      <c r="G86" s="8"/>
      <c r="H86" s="65">
        <f>Sheet1!H121</f>
        <v>-257.60000000000002</v>
      </c>
      <c r="I86" s="65">
        <f>Sheet1!I121</f>
        <v>-2217.5</v>
      </c>
      <c r="J86" s="65">
        <f>Sheet1!J121</f>
        <v>-1347.1</v>
      </c>
      <c r="K86" s="65">
        <f>Sheet1!K121</f>
        <v>-2219.9</v>
      </c>
      <c r="L86" s="65">
        <f>Sheet1!L121</f>
        <v>-2185.5</v>
      </c>
      <c r="M86" s="58">
        <f>L27-M27</f>
        <v>-1338.7874976309104</v>
      </c>
      <c r="N86" s="58">
        <f t="shared" ref="N86:Q87" si="56">M27-N27</f>
        <v>-2140.8561699463171</v>
      </c>
      <c r="O86" s="58">
        <f t="shared" si="56"/>
        <v>-2027.3208661555946</v>
      </c>
      <c r="P86" s="58">
        <f t="shared" si="56"/>
        <v>-1500.6358061281608</v>
      </c>
      <c r="Q86" s="58">
        <f t="shared" si="56"/>
        <v>-1570.8098815336416</v>
      </c>
    </row>
    <row r="87" spans="1:17" ht="16.5">
      <c r="A87" s="8"/>
      <c r="B87" s="8"/>
      <c r="C87" s="8"/>
      <c r="D87" s="8" t="s">
        <v>118</v>
      </c>
      <c r="E87" s="8"/>
      <c r="F87" s="61" t="s">
        <v>112</v>
      </c>
      <c r="G87" s="8"/>
      <c r="H87" s="65">
        <f>Sheet1!H123</f>
        <v>-4977</v>
      </c>
      <c r="I87" s="65">
        <f>Sheet1!I123</f>
        <v>-6731.4</v>
      </c>
      <c r="J87" s="65">
        <f>Sheet1!J123</f>
        <v>4734.1000000000004</v>
      </c>
      <c r="K87" s="65">
        <f>Sheet1!K123</f>
        <v>-734</v>
      </c>
      <c r="L87" s="65">
        <f>Sheet1!L123</f>
        <v>-2612.3000000000002</v>
      </c>
      <c r="M87" s="58">
        <f>L28-M28</f>
        <v>-5216.5495860738738</v>
      </c>
      <c r="N87" s="58">
        <f t="shared" si="56"/>
        <v>-2038.8673582881311</v>
      </c>
      <c r="O87" s="58">
        <f t="shared" si="56"/>
        <v>-663.34754482973221</v>
      </c>
      <c r="P87" s="58">
        <f t="shared" si="56"/>
        <v>-2349.2300960998691</v>
      </c>
      <c r="Q87" s="58">
        <f t="shared" si="56"/>
        <v>-2352.6085410604355</v>
      </c>
    </row>
    <row r="88" spans="1:17" ht="16.5">
      <c r="A88" s="8"/>
      <c r="B88" s="8"/>
      <c r="C88" s="8"/>
      <c r="D88" s="8" t="s">
        <v>215</v>
      </c>
      <c r="E88" s="8"/>
      <c r="F88" s="61" t="s">
        <v>112</v>
      </c>
      <c r="G88" s="8"/>
      <c r="H88" s="65">
        <f>Sheet1!H124</f>
        <v>2124.1999999999998</v>
      </c>
      <c r="I88" s="65">
        <f>Sheet1!I124</f>
        <v>3344.9</v>
      </c>
      <c r="J88" s="65">
        <f>Sheet1!J124</f>
        <v>145.1</v>
      </c>
      <c r="K88" s="65">
        <f>Sheet1!K124</f>
        <v>5252.8</v>
      </c>
      <c r="L88" s="65">
        <f>Sheet1!L124</f>
        <v>2166.5</v>
      </c>
      <c r="M88" s="58">
        <f>M40-L40</f>
        <v>-812.88319943171155</v>
      </c>
      <c r="N88" s="58">
        <f t="shared" ref="N88:Q88" si="57">N40-M40</f>
        <v>1522.477936016192</v>
      </c>
      <c r="O88" s="58">
        <f t="shared" si="57"/>
        <v>1766.0971839590384</v>
      </c>
      <c r="P88" s="58">
        <f t="shared" si="57"/>
        <v>1957.6800360005072</v>
      </c>
      <c r="Q88" s="58">
        <f t="shared" si="57"/>
        <v>457.26417447556742</v>
      </c>
    </row>
    <row r="89" spans="1:17" ht="16.5">
      <c r="A89" s="8"/>
      <c r="B89" s="8"/>
      <c r="C89" s="8"/>
      <c r="D89" s="8" t="s">
        <v>216</v>
      </c>
      <c r="E89" s="8"/>
      <c r="F89" s="61" t="s">
        <v>112</v>
      </c>
      <c r="G89" s="8"/>
      <c r="H89" s="65">
        <f>Sheet1!H122+Sheet1!H125</f>
        <v>-301.20000000000005</v>
      </c>
      <c r="I89" s="65">
        <f>Sheet1!I122+Sheet1!I125</f>
        <v>154.40000000000003</v>
      </c>
      <c r="J89" s="65">
        <f>Sheet1!J122+Sheet1!J125</f>
        <v>-264.40000000000003</v>
      </c>
      <c r="K89" s="65">
        <f>Sheet1!K122+Sheet1!K125</f>
        <v>-2815.8</v>
      </c>
      <c r="L89" s="65">
        <f>Sheet1!L122+Sheet1!L125</f>
        <v>491.6</v>
      </c>
      <c r="M89" s="58">
        <f>(L29-M29)+(M41-L41)</f>
        <v>0</v>
      </c>
      <c r="N89" s="58">
        <f t="shared" ref="N89:Q89" si="58">(M29-N29)+(N41-M41)</f>
        <v>0</v>
      </c>
      <c r="O89" s="58">
        <f t="shared" si="58"/>
        <v>0</v>
      </c>
      <c r="P89" s="58">
        <f t="shared" si="58"/>
        <v>0</v>
      </c>
      <c r="Q89" s="58">
        <f t="shared" si="58"/>
        <v>-13167.7</v>
      </c>
    </row>
    <row r="90" spans="1:17" ht="16.5">
      <c r="A90" s="8"/>
      <c r="B90" s="8"/>
      <c r="C90" s="8"/>
      <c r="D90" s="55" t="s">
        <v>217</v>
      </c>
      <c r="E90" s="53"/>
      <c r="F90" s="53"/>
      <c r="G90" s="53"/>
      <c r="H90" s="60">
        <f>SUM(H86:H89)</f>
        <v>-3411.6000000000004</v>
      </c>
      <c r="I90" s="60">
        <f t="shared" ref="I90:Q90" si="59">SUM(I86:I89)</f>
        <v>-5449.6</v>
      </c>
      <c r="J90" s="60">
        <f t="shared" si="59"/>
        <v>3267.7000000000003</v>
      </c>
      <c r="K90" s="60">
        <f t="shared" si="59"/>
        <v>-516.90000000000009</v>
      </c>
      <c r="L90" s="60">
        <f t="shared" si="59"/>
        <v>-2139.7000000000003</v>
      </c>
      <c r="M90" s="60">
        <f t="shared" si="59"/>
        <v>-7368.2202831364957</v>
      </c>
      <c r="N90" s="60">
        <f t="shared" si="59"/>
        <v>-2657.2455922182562</v>
      </c>
      <c r="O90" s="60">
        <f t="shared" si="59"/>
        <v>-924.5712270262884</v>
      </c>
      <c r="P90" s="60">
        <f t="shared" si="59"/>
        <v>-1892.1858662275226</v>
      </c>
      <c r="Q90" s="60">
        <f t="shared" si="59"/>
        <v>-16633.85424811851</v>
      </c>
    </row>
    <row r="91" spans="1:17" ht="16.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</row>
    <row r="92" spans="1:17" ht="16.5">
      <c r="C92" s="1" t="s">
        <v>218</v>
      </c>
      <c r="D92" s="8"/>
    </row>
    <row r="93" spans="1:17" ht="16.5">
      <c r="D93" s="8" t="s">
        <v>219</v>
      </c>
      <c r="F93" s="8" t="s">
        <v>112</v>
      </c>
      <c r="H93" s="8"/>
      <c r="I93" s="58">
        <f>H96</f>
        <v>27908.699999999997</v>
      </c>
      <c r="J93" s="58">
        <f t="shared" ref="J93:L93" si="60">I96</f>
        <v>28381.200000000001</v>
      </c>
      <c r="K93" s="58">
        <f t="shared" si="60"/>
        <v>25929</v>
      </c>
      <c r="L93" s="58">
        <f t="shared" si="60"/>
        <v>26146.1</v>
      </c>
      <c r="M93" s="58">
        <f t="shared" ref="M93" si="61">L96</f>
        <v>29772.7</v>
      </c>
      <c r="N93" s="58">
        <f t="shared" ref="N93" si="62">M96</f>
        <v>28981.797711712345</v>
      </c>
      <c r="O93" s="58">
        <f t="shared" ref="O93" si="63">N96</f>
        <v>27738.926171555941</v>
      </c>
      <c r="P93" s="58">
        <f t="shared" ref="P93" si="64">O96</f>
        <v>26129.787689904093</v>
      </c>
      <c r="Q93" s="58">
        <f t="shared" ref="Q93" si="65">P96</f>
        <v>24291.406908862144</v>
      </c>
    </row>
    <row r="94" spans="1:17" ht="16.5">
      <c r="D94" s="8" t="s">
        <v>220</v>
      </c>
      <c r="F94" s="8" t="s">
        <v>112</v>
      </c>
      <c r="H94" s="8"/>
      <c r="I94" s="58">
        <f>I96-I91-I95</f>
        <v>31420.799999999999</v>
      </c>
      <c r="J94" s="58">
        <f t="shared" ref="J94:L94" si="66">J96-J91-J95</f>
        <v>29033.200000000001</v>
      </c>
      <c r="K94" s="58">
        <f t="shared" si="66"/>
        <v>29139.1</v>
      </c>
      <c r="L94" s="58">
        <f t="shared" si="66"/>
        <v>33344.300000000003</v>
      </c>
      <c r="M94" s="58">
        <f>(M6-L6)/M119</f>
        <v>2709.7697567945015</v>
      </c>
      <c r="N94" s="58">
        <f t="shared" ref="N94:Q94" si="67">(N6-M6)/N119</f>
        <v>2164.8062675539327</v>
      </c>
      <c r="O94" s="58">
        <f t="shared" si="67"/>
        <v>1712.5104522851634</v>
      </c>
      <c r="P94" s="58">
        <f t="shared" si="67"/>
        <v>1344.1757391962603</v>
      </c>
      <c r="Q94" s="58">
        <f t="shared" si="67"/>
        <v>1048.6896313447253</v>
      </c>
    </row>
    <row r="95" spans="1:17" ht="16.5">
      <c r="D95" s="8" t="s">
        <v>221</v>
      </c>
      <c r="F95" s="8" t="s">
        <v>112</v>
      </c>
      <c r="H95" s="58">
        <f>-H57</f>
        <v>-2745.8</v>
      </c>
      <c r="I95" s="58">
        <f t="shared" ref="I95:L95" si="68">-I57</f>
        <v>-3039.6</v>
      </c>
      <c r="J95" s="58">
        <f t="shared" si="68"/>
        <v>-3104.2</v>
      </c>
      <c r="K95" s="58">
        <f t="shared" si="68"/>
        <v>-2993</v>
      </c>
      <c r="L95" s="58">
        <f t="shared" si="68"/>
        <v>-3571.6</v>
      </c>
      <c r="M95" s="58">
        <f>-M93*M111</f>
        <v>-3500.6720450821608</v>
      </c>
      <c r="N95" s="58">
        <f t="shared" ref="N95:Q95" si="69">-N93*N111</f>
        <v>-3407.6778077103368</v>
      </c>
      <c r="O95" s="58">
        <f t="shared" si="69"/>
        <v>-3321.6489339370096</v>
      </c>
      <c r="P95" s="58">
        <f t="shared" si="69"/>
        <v>-3182.5565202382095</v>
      </c>
      <c r="Q95" s="58">
        <f t="shared" si="69"/>
        <v>-2984.8573042403759</v>
      </c>
    </row>
    <row r="96" spans="1:17" ht="16.5">
      <c r="D96" s="55" t="s">
        <v>222</v>
      </c>
      <c r="E96" s="54"/>
      <c r="F96" s="53"/>
      <c r="G96" s="54"/>
      <c r="H96" s="60">
        <f>H32</f>
        <v>27908.699999999997</v>
      </c>
      <c r="I96" s="60">
        <f t="shared" ref="I96:Q96" si="70">I32</f>
        <v>28381.200000000001</v>
      </c>
      <c r="J96" s="60">
        <f t="shared" si="70"/>
        <v>25929</v>
      </c>
      <c r="K96" s="60">
        <f t="shared" si="70"/>
        <v>26146.1</v>
      </c>
      <c r="L96" s="60">
        <f>L32</f>
        <v>29772.7</v>
      </c>
      <c r="M96" s="60">
        <f>SUM(M93:M95)</f>
        <v>28981.797711712345</v>
      </c>
      <c r="N96" s="60">
        <f t="shared" ref="N96:Q96" si="71">SUM(N93:N95)</f>
        <v>27738.926171555941</v>
      </c>
      <c r="O96" s="60">
        <f t="shared" si="71"/>
        <v>26129.787689904093</v>
      </c>
      <c r="P96" s="60">
        <f t="shared" si="71"/>
        <v>24291.406908862144</v>
      </c>
      <c r="Q96" s="60">
        <f t="shared" si="71"/>
        <v>22355.239235966492</v>
      </c>
    </row>
    <row r="98" spans="1:17" ht="16.5">
      <c r="C98" s="1" t="s">
        <v>223</v>
      </c>
      <c r="D98" s="8"/>
      <c r="E98" s="8"/>
      <c r="F98" s="8"/>
      <c r="G98" s="8"/>
      <c r="H98" s="8"/>
      <c r="I98" s="8"/>
      <c r="J98" s="8"/>
      <c r="K98" s="8"/>
      <c r="L98" s="8"/>
    </row>
    <row r="99" spans="1:17" ht="16.5">
      <c r="C99" s="8"/>
      <c r="D99" s="8" t="s">
        <v>224</v>
      </c>
      <c r="E99" s="8"/>
      <c r="F99" s="8"/>
      <c r="G99" s="8"/>
      <c r="H99" s="8"/>
      <c r="I99" s="58">
        <f>H101</f>
        <v>17919.800000000003</v>
      </c>
      <c r="J99" s="58">
        <f t="shared" ref="J99:L99" si="72">I101</f>
        <v>26681.9</v>
      </c>
      <c r="K99" s="58">
        <f t="shared" si="72"/>
        <v>13966.8</v>
      </c>
      <c r="L99" s="58">
        <f t="shared" si="72"/>
        <v>14184.1</v>
      </c>
      <c r="M99" s="58">
        <f>L101</f>
        <v>13808.999999999998</v>
      </c>
      <c r="N99" s="58">
        <f t="shared" ref="N99:Q99" si="73">M101</f>
        <v>13808.999999999998</v>
      </c>
      <c r="O99" s="58">
        <f t="shared" si="73"/>
        <v>13808.999999999998</v>
      </c>
      <c r="P99" s="58">
        <f t="shared" si="73"/>
        <v>13808.999999999998</v>
      </c>
      <c r="Q99" s="58">
        <f t="shared" si="73"/>
        <v>13808.999999999998</v>
      </c>
    </row>
    <row r="100" spans="1:17" ht="16.5">
      <c r="C100" s="8"/>
      <c r="D100" s="8" t="s">
        <v>225</v>
      </c>
      <c r="E100" s="8"/>
      <c r="F100" s="8"/>
      <c r="G100" s="8"/>
      <c r="H100" s="8"/>
      <c r="I100" s="58">
        <f>I101-I99</f>
        <v>8762.0999999999985</v>
      </c>
      <c r="J100" s="58">
        <f t="shared" ref="J100:L100" si="74">J101-J99</f>
        <v>-12715.100000000002</v>
      </c>
      <c r="K100" s="58">
        <f t="shared" si="74"/>
        <v>217.30000000000109</v>
      </c>
      <c r="L100" s="58">
        <f t="shared" si="74"/>
        <v>-375.10000000000218</v>
      </c>
      <c r="M100">
        <v>0</v>
      </c>
      <c r="N100">
        <v>0</v>
      </c>
      <c r="O100">
        <v>0</v>
      </c>
      <c r="P100">
        <v>0</v>
      </c>
      <c r="Q100">
        <v>0</v>
      </c>
    </row>
    <row r="101" spans="1:17" ht="16.5">
      <c r="C101" s="8"/>
      <c r="D101" s="55" t="s">
        <v>226</v>
      </c>
      <c r="E101" s="55"/>
      <c r="F101" s="55"/>
      <c r="G101" s="55"/>
      <c r="H101" s="60">
        <f>H43</f>
        <v>17919.800000000003</v>
      </c>
      <c r="I101" s="60">
        <f t="shared" ref="I101:M101" si="75">I43</f>
        <v>26681.9</v>
      </c>
      <c r="J101" s="60">
        <f t="shared" si="75"/>
        <v>13966.8</v>
      </c>
      <c r="K101" s="60">
        <f t="shared" si="75"/>
        <v>14184.1</v>
      </c>
      <c r="L101" s="60">
        <f t="shared" si="75"/>
        <v>13808.999999999998</v>
      </c>
      <c r="M101" s="60">
        <f>SUM(M99:M100)</f>
        <v>13808.999999999998</v>
      </c>
      <c r="N101" s="60">
        <f t="shared" ref="N101:Q101" si="76">SUM(N99:N100)</f>
        <v>13808.999999999998</v>
      </c>
      <c r="O101" s="60">
        <f t="shared" si="76"/>
        <v>13808.999999999998</v>
      </c>
      <c r="P101" s="60">
        <f t="shared" si="76"/>
        <v>13808.999999999998</v>
      </c>
      <c r="Q101" s="60">
        <f t="shared" si="76"/>
        <v>13808.999999999998</v>
      </c>
    </row>
    <row r="102" spans="1:17" ht="16.5">
      <c r="C102" s="8"/>
      <c r="D102" s="8" t="s">
        <v>227</v>
      </c>
      <c r="E102" s="8"/>
      <c r="F102" s="8"/>
      <c r="G102" s="8"/>
      <c r="H102" s="58">
        <f>H15</f>
        <v>-589.20000000000005</v>
      </c>
      <c r="I102" s="58">
        <f t="shared" ref="I102:L102" si="77">I15</f>
        <v>-523.70000000000005</v>
      </c>
      <c r="J102" s="58">
        <f t="shared" si="77"/>
        <v>-1073.5999999999999</v>
      </c>
      <c r="K102" s="58">
        <f t="shared" si="77"/>
        <v>-1124.0999999999999</v>
      </c>
      <c r="L102" s="58">
        <f t="shared" si="77"/>
        <v>-1217</v>
      </c>
      <c r="M102" s="58">
        <f>-M101*M112</f>
        <v>-813.85304856489029</v>
      </c>
      <c r="N102" s="58">
        <f t="shared" ref="N102:Q102" si="78">-N101*N112</f>
        <v>-813.85304856489029</v>
      </c>
      <c r="O102" s="58">
        <f t="shared" si="78"/>
        <v>-916.42549021704497</v>
      </c>
      <c r="P102" s="58">
        <f t="shared" si="78"/>
        <v>-980.98051868675225</v>
      </c>
      <c r="Q102" s="58">
        <f t="shared" si="78"/>
        <v>-932.23697393712155</v>
      </c>
    </row>
    <row r="104" spans="1:17" ht="17.25">
      <c r="A104" s="51" t="s">
        <v>228</v>
      </c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</row>
    <row r="106" spans="1:17" ht="16.5">
      <c r="C106" s="8" t="s">
        <v>250</v>
      </c>
      <c r="D106" s="8"/>
      <c r="E106" s="90" t="s">
        <v>245</v>
      </c>
      <c r="F106" s="1" t="s">
        <v>230</v>
      </c>
      <c r="G106" s="91">
        <f>IF(E106=Scenarios!D5,1,IF(Model!E106=Scenarios!D6,2,3))</f>
        <v>1</v>
      </c>
      <c r="H106" s="8"/>
      <c r="I106" s="8"/>
      <c r="J106" s="8"/>
      <c r="K106" s="8"/>
      <c r="L106" s="8"/>
    </row>
    <row r="107" spans="1:17" ht="16.5">
      <c r="C107" s="8" t="s">
        <v>229</v>
      </c>
      <c r="F107" s="8" t="s">
        <v>231</v>
      </c>
      <c r="G107" s="8"/>
      <c r="H107" s="81" t="s">
        <v>232</v>
      </c>
      <c r="I107" s="80">
        <f>I6/H6-1</f>
        <v>0.19956886681458896</v>
      </c>
      <c r="J107" s="80">
        <f t="shared" ref="J107:L107" si="79">J6/I6-1</f>
        <v>9.0751622831640288E-2</v>
      </c>
      <c r="K107" s="80">
        <f t="shared" si="79"/>
        <v>9.2102427223805572E-2</v>
      </c>
      <c r="L107" s="80">
        <f t="shared" si="79"/>
        <v>2.3440941363701562E-2</v>
      </c>
      <c r="M107" s="80">
        <f t="array" ref="M107:Q107">CHOOSE(G106,Scenarios!G5:K5,Scenarios!G6:K6,Scenarios!G7:K7)</f>
        <v>0.1014659645584341</v>
      </c>
      <c r="N107" s="80">
        <v>8.1172771646747285E-2</v>
      </c>
      <c r="O107" s="80">
        <v>6.4938217317397837E-2</v>
      </c>
      <c r="P107" s="80">
        <v>5.1950573853918269E-2</v>
      </c>
      <c r="Q107" s="80">
        <v>4.1560459083134618E-2</v>
      </c>
    </row>
    <row r="108" spans="1:17" ht="16.5">
      <c r="C108" s="8" t="s">
        <v>233</v>
      </c>
      <c r="F108" s="8" t="s">
        <v>231</v>
      </c>
      <c r="G108" s="8"/>
      <c r="H108" s="80">
        <f>-H7/H6</f>
        <v>0.39463689268258012</v>
      </c>
      <c r="I108" s="80">
        <f t="shared" ref="I108:L108" si="80">-I7/I6</f>
        <v>0.39309905126765649</v>
      </c>
      <c r="J108" s="80">
        <f t="shared" si="80"/>
        <v>0.42303043470014462</v>
      </c>
      <c r="K108" s="80">
        <f t="shared" si="80"/>
        <v>0.38978084211822622</v>
      </c>
      <c r="L108" s="80">
        <f t="shared" si="80"/>
        <v>0.36748448843458908</v>
      </c>
      <c r="M108" s="83">
        <f t="shared" ref="M108:M118" si="81">AVERAGE(H108:L108)</f>
        <v>0.39360634184063936</v>
      </c>
      <c r="N108" s="83">
        <f t="shared" ref="N108:N118" si="82">AVERAGE(I108:L108)</f>
        <v>0.3933487041301541</v>
      </c>
      <c r="O108" s="83">
        <f t="shared" ref="O108:O118" si="83">AVERAGE(J108:M108)</f>
        <v>0.39347552677339981</v>
      </c>
      <c r="P108" s="83">
        <f t="shared" ref="P108:P118" si="84">AVERAGE(K108:N108)</f>
        <v>0.38605509413090222</v>
      </c>
      <c r="Q108" s="83">
        <f t="shared" ref="Q108:Q118" si="85">AVERAGE(L108:O108)</f>
        <v>0.3869787652946956</v>
      </c>
    </row>
    <row r="109" spans="1:17" ht="16.5">
      <c r="C109" s="61" t="s">
        <v>234</v>
      </c>
      <c r="F109" s="8" t="s">
        <v>231</v>
      </c>
      <c r="G109" s="8"/>
      <c r="H109" s="80">
        <f>-H10/H6</f>
        <v>0.18285709773593034</v>
      </c>
      <c r="I109" s="80">
        <f t="shared" ref="I109:L109" si="86">-I10/I6</f>
        <v>0.18456600831845207</v>
      </c>
      <c r="J109" s="80">
        <f t="shared" si="86"/>
        <v>0.18374879087114177</v>
      </c>
      <c r="K109" s="80">
        <f t="shared" si="86"/>
        <v>0.17375141897663168</v>
      </c>
      <c r="L109" s="80">
        <f t="shared" si="86"/>
        <v>0.18927966480826133</v>
      </c>
      <c r="M109" s="83">
        <f t="shared" si="81"/>
        <v>0.18284059614208342</v>
      </c>
      <c r="N109" s="83">
        <f t="shared" si="82"/>
        <v>0.18283647074362172</v>
      </c>
      <c r="O109" s="83">
        <f t="shared" si="83"/>
        <v>0.18240511769952955</v>
      </c>
      <c r="P109" s="83">
        <f t="shared" si="84"/>
        <v>0.18217703766764956</v>
      </c>
      <c r="Q109" s="83">
        <f t="shared" si="85"/>
        <v>0.18434046234837403</v>
      </c>
    </row>
    <row r="110" spans="1:17" ht="16.5">
      <c r="C110" s="61" t="s">
        <v>235</v>
      </c>
      <c r="F110" s="8" t="s">
        <v>231</v>
      </c>
      <c r="G110" s="8"/>
      <c r="H110" s="80">
        <f>-H11/H6</f>
        <v>0.20339852972529077</v>
      </c>
      <c r="I110" s="80">
        <f t="shared" ref="I110:L110" si="87">-I11/I6</f>
        <v>0.22928591646378335</v>
      </c>
      <c r="J110" s="80">
        <f t="shared" si="87"/>
        <v>0.25446623319073802</v>
      </c>
      <c r="K110" s="80">
        <f t="shared" si="87"/>
        <v>0.25920499416621012</v>
      </c>
      <c r="L110" s="80">
        <f t="shared" si="87"/>
        <v>0.24946469286946221</v>
      </c>
      <c r="M110" s="83">
        <f t="shared" si="81"/>
        <v>0.23916407328309691</v>
      </c>
      <c r="N110" s="83">
        <f t="shared" si="82"/>
        <v>0.24810545917254845</v>
      </c>
      <c r="O110" s="83">
        <f t="shared" si="83"/>
        <v>0.25057499837737679</v>
      </c>
      <c r="P110" s="83">
        <f t="shared" si="84"/>
        <v>0.24898480487282942</v>
      </c>
      <c r="Q110" s="83">
        <f t="shared" si="85"/>
        <v>0.24682730592562108</v>
      </c>
    </row>
    <row r="111" spans="1:17" ht="16.5">
      <c r="C111" s="61" t="s">
        <v>236</v>
      </c>
      <c r="F111" s="8" t="s">
        <v>231</v>
      </c>
      <c r="G111" s="8"/>
      <c r="H111" s="82" t="s">
        <v>232</v>
      </c>
      <c r="I111" s="80">
        <f t="shared" ref="I111:L111" si="88">-I13/I93</f>
        <v>0.10891227466703932</v>
      </c>
      <c r="J111" s="80">
        <f t="shared" si="88"/>
        <v>0.10937522021619944</v>
      </c>
      <c r="K111" s="80">
        <f t="shared" si="88"/>
        <v>0.11543059894326815</v>
      </c>
      <c r="L111" s="80">
        <f t="shared" si="88"/>
        <v>0.13660163466061861</v>
      </c>
      <c r="M111" s="83">
        <f t="shared" si="81"/>
        <v>0.11757993212178139</v>
      </c>
      <c r="N111" s="83">
        <f t="shared" si="82"/>
        <v>0.11757993212178139</v>
      </c>
      <c r="O111" s="83">
        <f t="shared" si="83"/>
        <v>0.11974684648546691</v>
      </c>
      <c r="P111" s="83">
        <f t="shared" si="84"/>
        <v>0.12179802446186239</v>
      </c>
      <c r="Q111" s="83">
        <f t="shared" si="85"/>
        <v>0.12287708634741208</v>
      </c>
    </row>
    <row r="112" spans="1:17" ht="16.5">
      <c r="C112" s="61" t="s">
        <v>237</v>
      </c>
      <c r="F112" s="8" t="s">
        <v>231</v>
      </c>
      <c r="G112" s="8"/>
      <c r="H112" s="82" t="s">
        <v>232</v>
      </c>
      <c r="I112" s="80">
        <f>-I15/I99</f>
        <v>2.9224656525184432E-2</v>
      </c>
      <c r="J112" s="80">
        <f t="shared" ref="J112:L112" si="89">-J15/J99</f>
        <v>4.0237014605406657E-2</v>
      </c>
      <c r="K112" s="80">
        <f t="shared" si="89"/>
        <v>8.0483718532519968E-2</v>
      </c>
      <c r="L112" s="80">
        <f t="shared" si="89"/>
        <v>8.5800297516232957E-2</v>
      </c>
      <c r="M112" s="83">
        <f t="shared" si="81"/>
        <v>5.8936421794836005E-2</v>
      </c>
      <c r="N112" s="83">
        <f t="shared" si="82"/>
        <v>5.8936421794836005E-2</v>
      </c>
      <c r="O112" s="83">
        <f t="shared" si="83"/>
        <v>6.63643631122489E-2</v>
      </c>
      <c r="P112" s="83">
        <f t="shared" si="84"/>
        <v>7.1039214909606227E-2</v>
      </c>
      <c r="Q112" s="83">
        <f t="shared" si="85"/>
        <v>6.7509376054538467E-2</v>
      </c>
    </row>
    <row r="113" spans="3:17" ht="16.5">
      <c r="C113" s="61" t="s">
        <v>238</v>
      </c>
      <c r="F113" s="8" t="s">
        <v>231</v>
      </c>
      <c r="G113" s="8"/>
      <c r="H113" s="80">
        <f>H16/H6</f>
        <v>2.6306794916192984E-2</v>
      </c>
      <c r="I113" s="80">
        <f t="shared" ref="I113:L113" si="90">I16/I6</f>
        <v>1.3888222798351358E-2</v>
      </c>
      <c r="J113" s="80">
        <f t="shared" si="90"/>
        <v>9.7506220224393633E-3</v>
      </c>
      <c r="K113" s="80">
        <f t="shared" si="90"/>
        <v>1.4947606409432582E-2</v>
      </c>
      <c r="L113" s="80">
        <f t="shared" si="90"/>
        <v>3.8083939860480753E-2</v>
      </c>
      <c r="M113" s="83">
        <f t="shared" si="81"/>
        <v>2.0595437201379407E-2</v>
      </c>
      <c r="N113" s="83">
        <f t="shared" si="82"/>
        <v>1.9167597772676015E-2</v>
      </c>
      <c r="O113" s="83">
        <f t="shared" si="83"/>
        <v>2.0844401373433026E-2</v>
      </c>
      <c r="P113" s="83">
        <f t="shared" si="84"/>
        <v>2.3198645310992187E-2</v>
      </c>
      <c r="Q113" s="83">
        <f t="shared" si="85"/>
        <v>2.4672844051992299E-2</v>
      </c>
    </row>
    <row r="114" spans="3:17" ht="16.5">
      <c r="C114" s="61" t="s">
        <v>239</v>
      </c>
      <c r="F114" s="8" t="s">
        <v>231</v>
      </c>
      <c r="G114" s="8"/>
      <c r="H114" s="80">
        <f>-H18/H17</f>
        <v>0.12177949079854508</v>
      </c>
      <c r="I114" s="80">
        <f t="shared" ref="I114:L114" si="91">-I18/I17</f>
        <v>8.8901902097295413E-2</v>
      </c>
      <c r="J114" s="80">
        <f t="shared" si="91"/>
        <v>0.22836208680457074</v>
      </c>
      <c r="K114" s="80">
        <f t="shared" si="91"/>
        <v>0.10462501173923573</v>
      </c>
      <c r="L114" s="80">
        <f t="shared" si="91"/>
        <v>0.12308124557286614</v>
      </c>
      <c r="M114" s="83">
        <f t="shared" si="81"/>
        <v>0.13334994740250264</v>
      </c>
      <c r="N114" s="83">
        <f t="shared" si="82"/>
        <v>0.13624256155349199</v>
      </c>
      <c r="O114" s="83">
        <f t="shared" si="83"/>
        <v>0.14735457287979381</v>
      </c>
      <c r="P114" s="83">
        <f t="shared" si="84"/>
        <v>0.12432469156702414</v>
      </c>
      <c r="Q114" s="83">
        <f t="shared" si="85"/>
        <v>0.13500708185216365</v>
      </c>
    </row>
    <row r="115" spans="3:17" ht="16.5">
      <c r="C115" s="61" t="s">
        <v>240</v>
      </c>
      <c r="F115" s="8" t="s">
        <v>231</v>
      </c>
      <c r="H115" s="80">
        <f>-H75/H19</f>
        <v>0.20693918171309875</v>
      </c>
      <c r="I115" s="80">
        <f t="shared" ref="I115:L115" si="92">-I75/I19</f>
        <v>0.25109502951818696</v>
      </c>
      <c r="J115" s="80">
        <f t="shared" si="92"/>
        <v>0.52593835976996606</v>
      </c>
      <c r="K115" s="80">
        <f t="shared" si="92"/>
        <v>0.29837258344098128</v>
      </c>
      <c r="L115" s="80">
        <f t="shared" si="92"/>
        <v>0.22771660649819483</v>
      </c>
      <c r="M115" s="83">
        <f t="shared" si="81"/>
        <v>0.30201235218808559</v>
      </c>
      <c r="N115" s="83">
        <f t="shared" si="82"/>
        <v>0.32578064480683228</v>
      </c>
      <c r="O115" s="83">
        <f t="shared" si="83"/>
        <v>0.33850997547430695</v>
      </c>
      <c r="P115" s="83">
        <f t="shared" si="84"/>
        <v>0.28847054673352351</v>
      </c>
      <c r="Q115" s="83">
        <f t="shared" si="85"/>
        <v>0.29850489474185493</v>
      </c>
    </row>
    <row r="116" spans="3:17" ht="16.5">
      <c r="C116" s="61" t="s">
        <v>117</v>
      </c>
      <c r="F116" s="8" t="s">
        <v>241</v>
      </c>
      <c r="H116" s="84">
        <f>H27/H6*365</f>
        <v>66.173828343115233</v>
      </c>
      <c r="I116" s="84">
        <f t="shared" ref="I116:L116" si="93">I27/I6*365</f>
        <v>64.685603699012347</v>
      </c>
      <c r="J116" s="84">
        <f t="shared" si="93"/>
        <v>67.094426713428263</v>
      </c>
      <c r="K116" s="84">
        <f t="shared" si="93"/>
        <v>64.911818200477114</v>
      </c>
      <c r="L116" s="84">
        <f t="shared" si="93"/>
        <v>69.434213530466224</v>
      </c>
      <c r="M116" s="84">
        <f t="shared" si="81"/>
        <v>66.459978097299839</v>
      </c>
      <c r="N116" s="84">
        <f t="shared" si="82"/>
        <v>66.531515535845983</v>
      </c>
      <c r="O116" s="84">
        <f t="shared" si="83"/>
        <v>66.975109135417867</v>
      </c>
      <c r="P116" s="84">
        <f t="shared" si="84"/>
        <v>66.834381341022294</v>
      </c>
      <c r="Q116" s="84">
        <f t="shared" si="85"/>
        <v>67.350204074757485</v>
      </c>
    </row>
    <row r="117" spans="3:17" ht="16.5">
      <c r="C117" s="61" t="s">
        <v>118</v>
      </c>
      <c r="F117" s="8" t="s">
        <v>241</v>
      </c>
      <c r="H117" s="84">
        <f>-H28/H7*365</f>
        <v>241.26061181205449</v>
      </c>
      <c r="I117" s="84">
        <f t="shared" ref="I117:L117" si="94">-I28/I7*365</f>
        <v>262.42639864698384</v>
      </c>
      <c r="J117" s="84">
        <f t="shared" si="94"/>
        <v>193.96362017102661</v>
      </c>
      <c r="K117" s="84">
        <f t="shared" si="94"/>
        <v>196.72201766857447</v>
      </c>
      <c r="L117" s="84">
        <f t="shared" si="94"/>
        <v>223.89198952198245</v>
      </c>
      <c r="M117" s="84">
        <f t="shared" si="81"/>
        <v>223.65292756412435</v>
      </c>
      <c r="N117" s="84">
        <f t="shared" si="82"/>
        <v>219.25100650214182</v>
      </c>
      <c r="O117" s="84">
        <f t="shared" si="83"/>
        <v>209.55763873142701</v>
      </c>
      <c r="P117" s="84">
        <f t="shared" si="84"/>
        <v>215.87948531420574</v>
      </c>
      <c r="Q117" s="84">
        <f t="shared" si="85"/>
        <v>219.08839057991889</v>
      </c>
    </row>
    <row r="118" spans="3:17" ht="16.5">
      <c r="C118" s="61" t="s">
        <v>215</v>
      </c>
      <c r="F118" s="8" t="s">
        <v>241</v>
      </c>
      <c r="H118" s="84">
        <f>-H40/H7*365</f>
        <v>111.57327795658662</v>
      </c>
      <c r="I118" s="84">
        <f t="shared" ref="I118:L118" si="95">-I40/I7*365</f>
        <v>102.45310732030555</v>
      </c>
      <c r="J118" s="84">
        <f t="shared" si="95"/>
        <v>86.661874037058496</v>
      </c>
      <c r="K118" s="84">
        <f t="shared" si="95"/>
        <v>129.2260176037654</v>
      </c>
      <c r="L118" s="84">
        <f t="shared" si="95"/>
        <v>140.91648020888871</v>
      </c>
      <c r="M118" s="84">
        <f t="shared" si="81"/>
        <v>114.16615142532096</v>
      </c>
      <c r="N118" s="84">
        <f t="shared" si="82"/>
        <v>114.81436979250455</v>
      </c>
      <c r="O118" s="84">
        <f t="shared" si="83"/>
        <v>117.7426308187584</v>
      </c>
      <c r="P118" s="84">
        <f t="shared" si="84"/>
        <v>124.78075475761992</v>
      </c>
      <c r="Q118" s="84">
        <f t="shared" si="85"/>
        <v>121.90990806136817</v>
      </c>
    </row>
    <row r="119" spans="3:17" ht="16.5">
      <c r="C119" s="61" t="s">
        <v>242</v>
      </c>
      <c r="F119" s="8" t="s">
        <v>243</v>
      </c>
      <c r="H119" s="85">
        <f>H6/H32</f>
        <v>3.1764324386302483</v>
      </c>
      <c r="I119" s="85">
        <f t="shared" ref="I119:L119" si="96">I6/I32</f>
        <v>3.7469134497484249</v>
      </c>
      <c r="J119" s="85">
        <f t="shared" si="96"/>
        <v>4.4734698600023144</v>
      </c>
      <c r="K119" s="85">
        <f t="shared" si="96"/>
        <v>4.844921422315374</v>
      </c>
      <c r="L119" s="85">
        <f t="shared" si="96"/>
        <v>4.354499256029853</v>
      </c>
      <c r="M119" s="85">
        <f>L119+0.5</f>
        <v>4.854499256029853</v>
      </c>
      <c r="N119" s="85">
        <f>M119+0.5</f>
        <v>5.354499256029853</v>
      </c>
      <c r="O119" s="85">
        <f t="shared" ref="O119:Q119" si="97">N119+0.5</f>
        <v>5.854499256029853</v>
      </c>
      <c r="P119" s="85">
        <f t="shared" si="97"/>
        <v>6.354499256029853</v>
      </c>
      <c r="Q119" s="85">
        <f t="shared" si="97"/>
        <v>6.854499256029853</v>
      </c>
    </row>
    <row r="120" spans="3:17" ht="16.5">
      <c r="H120" s="8"/>
      <c r="I120" s="8"/>
      <c r="J120" s="8"/>
      <c r="K120" s="8"/>
      <c r="L120" s="8"/>
      <c r="M120" s="8"/>
      <c r="N120" s="8"/>
    </row>
  </sheetData>
  <mergeCells count="2">
    <mergeCell ref="H1:L1"/>
    <mergeCell ref="M1:Q1"/>
  </mergeCells>
  <pageMargins left="0.7" right="0.7" top="0.75" bottom="0.75" header="0.3" footer="0.3"/>
  <pageSetup orientation="portrait" r:id="rId1"/>
  <ignoredErrors>
    <ignoredError sqref="H7:L7 H35:L35 H44:J44 L44 K44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CD8771-41C5-499F-ABF8-75BA5B638D25}">
          <x14:formula1>
            <xm:f>Scenarios!$D$5:$D$7</xm:f>
          </x14:formula1>
          <xm:sqref>E106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A0A5B-1375-4BB9-BA7F-F4719AE54376}">
  <dimension ref="A1:M138"/>
  <sheetViews>
    <sheetView showGridLines="0" workbookViewId="0">
      <selection sqref="A1:L2"/>
    </sheetView>
  </sheetViews>
  <sheetFormatPr defaultRowHeight="15"/>
  <cols>
    <col min="1" max="3" width="1.28515625" customWidth="1"/>
    <col min="4" max="4" width="44.7109375" customWidth="1"/>
    <col min="5" max="5" width="11" bestFit="1" customWidth="1"/>
    <col min="6" max="6" width="10.7109375" customWidth="1"/>
    <col min="7" max="7" width="9" customWidth="1"/>
  </cols>
  <sheetData>
    <row r="1" spans="1:13" ht="35.25">
      <c r="A1" s="45" t="str">
        <f>Sheet1!B1</f>
        <v>Alkem Laboratories Ltd</v>
      </c>
      <c r="B1" s="46"/>
      <c r="C1" s="46"/>
      <c r="D1" s="46"/>
      <c r="E1" s="46"/>
      <c r="F1" s="46"/>
      <c r="G1" s="40"/>
      <c r="H1" s="40"/>
      <c r="I1" s="40"/>
      <c r="J1" s="40"/>
      <c r="K1" s="40"/>
      <c r="L1" s="40"/>
    </row>
    <row r="2" spans="1:13" ht="18.75">
      <c r="A2" s="86" t="s">
        <v>244</v>
      </c>
      <c r="B2" s="48"/>
      <c r="C2" s="47"/>
      <c r="D2" s="47"/>
      <c r="E2" s="47"/>
      <c r="F2" s="47"/>
      <c r="G2" s="40"/>
      <c r="H2" s="40"/>
      <c r="I2" s="40"/>
      <c r="J2" s="40"/>
      <c r="K2" s="40"/>
      <c r="L2" s="40"/>
    </row>
    <row r="3" spans="1:13" ht="15.75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</row>
    <row r="4" spans="1:13" ht="16.5">
      <c r="A4" s="61"/>
      <c r="B4" s="61"/>
      <c r="C4" s="62" t="s">
        <v>244</v>
      </c>
      <c r="D4" s="61"/>
      <c r="E4" s="62" t="s">
        <v>248</v>
      </c>
      <c r="F4" s="61"/>
      <c r="G4" s="61">
        <f>Model!M2</f>
        <v>2026</v>
      </c>
      <c r="H4" s="61">
        <f>Model!N2</f>
        <v>2027</v>
      </c>
      <c r="I4" s="61">
        <f>Model!O2</f>
        <v>2028</v>
      </c>
      <c r="J4" s="61">
        <f>Model!P2</f>
        <v>2029</v>
      </c>
      <c r="K4" s="61">
        <f>Model!Q2</f>
        <v>2030</v>
      </c>
      <c r="L4" s="61"/>
      <c r="M4" s="61"/>
    </row>
    <row r="5" spans="1:13" ht="15.75">
      <c r="A5" s="61"/>
      <c r="B5" s="61"/>
      <c r="C5" s="61"/>
      <c r="D5" s="61" t="s">
        <v>245</v>
      </c>
      <c r="E5" s="88">
        <f>AVERAGE(Model!I107:L107)</f>
        <v>0.1014659645584341</v>
      </c>
      <c r="F5" s="61"/>
      <c r="G5" s="87">
        <f>E5</f>
        <v>0.1014659645584341</v>
      </c>
      <c r="H5" s="87">
        <f>G5*(1-$E$8)</f>
        <v>8.1172771646747285E-2</v>
      </c>
      <c r="I5" s="87">
        <f t="shared" ref="I5:K5" si="0">H5*(1-$E$8)</f>
        <v>6.4938217317397837E-2</v>
      </c>
      <c r="J5" s="87">
        <f t="shared" si="0"/>
        <v>5.1950573853918269E-2</v>
      </c>
      <c r="K5" s="87">
        <f t="shared" si="0"/>
        <v>4.1560459083134618E-2</v>
      </c>
      <c r="L5" s="61"/>
      <c r="M5" s="61"/>
    </row>
    <row r="6" spans="1:13" ht="15.75">
      <c r="A6" s="61"/>
      <c r="B6" s="61"/>
      <c r="C6" s="61"/>
      <c r="D6" s="61" t="s">
        <v>246</v>
      </c>
      <c r="E6" s="88">
        <f>MAX(Model!I107:L107)</f>
        <v>0.19956886681458896</v>
      </c>
      <c r="F6" s="61"/>
      <c r="G6" s="87">
        <f t="shared" ref="G6:G7" si="1">E6</f>
        <v>0.19956886681458896</v>
      </c>
      <c r="H6" s="87">
        <f>G6*(1-$E$8)</f>
        <v>0.15965509345167117</v>
      </c>
      <c r="I6" s="87">
        <f t="shared" ref="I6:K6" si="2">H6*(1-$E$8)</f>
        <v>0.12772407476133693</v>
      </c>
      <c r="J6" s="87">
        <f t="shared" si="2"/>
        <v>0.10217925980906956</v>
      </c>
      <c r="K6" s="87">
        <f t="shared" si="2"/>
        <v>8.1743407847255645E-2</v>
      </c>
      <c r="L6" s="61"/>
      <c r="M6" s="61"/>
    </row>
    <row r="7" spans="1:13" ht="15.75">
      <c r="A7" s="61"/>
      <c r="B7" s="61"/>
      <c r="C7" s="61"/>
      <c r="D7" s="61" t="s">
        <v>247</v>
      </c>
      <c r="E7" s="88">
        <f>MIN(Model!I107:L107)</f>
        <v>2.3440941363701562E-2</v>
      </c>
      <c r="F7" s="61"/>
      <c r="G7" s="87">
        <f t="shared" si="1"/>
        <v>2.3440941363701562E-2</v>
      </c>
      <c r="H7" s="87">
        <f t="shared" ref="H7:K7" si="3">G7*(1-$E$8)</f>
        <v>1.8752753090961249E-2</v>
      </c>
      <c r="I7" s="87">
        <f t="shared" si="3"/>
        <v>1.5002202472769E-2</v>
      </c>
      <c r="J7" s="87">
        <f t="shared" si="3"/>
        <v>1.2001761978215201E-2</v>
      </c>
      <c r="K7" s="87">
        <f t="shared" si="3"/>
        <v>9.6014095825721624E-3</v>
      </c>
      <c r="L7" s="61"/>
      <c r="M7" s="61"/>
    </row>
    <row r="8" spans="1:13" ht="15.75">
      <c r="A8" s="61"/>
      <c r="B8" s="61"/>
      <c r="C8" s="61"/>
      <c r="D8" s="61" t="s">
        <v>249</v>
      </c>
      <c r="E8" s="89">
        <v>0.2</v>
      </c>
      <c r="F8" s="61"/>
      <c r="G8" s="87"/>
      <c r="H8" s="61"/>
      <c r="I8" s="61"/>
      <c r="J8" s="61"/>
      <c r="K8" s="61"/>
      <c r="L8" s="61"/>
      <c r="M8" s="61"/>
    </row>
    <row r="9" spans="1:13" ht="15.7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</row>
    <row r="10" spans="1:13" ht="15.7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</row>
    <row r="11" spans="1:13" ht="15.7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</row>
    <row r="12" spans="1:13" ht="15.7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</row>
    <row r="13" spans="1:13" ht="15.7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</row>
    <row r="14" spans="1:13" ht="15.7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</row>
    <row r="15" spans="1:13" ht="15.7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</row>
    <row r="16" spans="1:13" ht="15.7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</row>
    <row r="17" spans="1:13" ht="15.7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</row>
    <row r="18" spans="1:13" ht="15.7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</row>
    <row r="19" spans="1:13" ht="15.7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</row>
    <row r="20" spans="1:13" ht="15.7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</row>
    <row r="21" spans="1:13" ht="15.7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</row>
    <row r="22" spans="1:13" ht="15.7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</row>
    <row r="23" spans="1:13" ht="15.7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</row>
    <row r="24" spans="1:13" ht="15.7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</row>
    <row r="25" spans="1:13" ht="15.7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</row>
    <row r="26" spans="1:13" ht="15.7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</row>
    <row r="27" spans="1:13" ht="15.7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</row>
    <row r="28" spans="1:13" ht="15.7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</row>
    <row r="29" spans="1:13" ht="15.7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</row>
    <row r="30" spans="1:13" ht="15.7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</row>
    <row r="31" spans="1:13" ht="15.7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</row>
    <row r="32" spans="1:13" ht="15.7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</row>
    <row r="33" spans="1:13" ht="15.7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</row>
    <row r="34" spans="1:13" ht="15.7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</row>
    <row r="35" spans="1:13" ht="15.7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</row>
    <row r="36" spans="1:13" ht="15.75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</row>
    <row r="37" spans="1:13" ht="15.7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</row>
    <row r="38" spans="1:13" ht="15.7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</row>
    <row r="39" spans="1:13" ht="15.7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</row>
    <row r="40" spans="1:13" ht="15.7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</row>
    <row r="41" spans="1:13" ht="15.7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</row>
    <row r="42" spans="1:13" ht="15.7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</row>
    <row r="43" spans="1:13" ht="15.7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</row>
    <row r="44" spans="1:13" ht="15.7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</row>
    <row r="45" spans="1:13" ht="15.7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</row>
    <row r="46" spans="1:13" ht="15.7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</row>
    <row r="47" spans="1:13" ht="15.7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</row>
    <row r="48" spans="1:13" ht="15.7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</row>
    <row r="49" spans="1:13" ht="15.7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</row>
    <row r="50" spans="1:13" ht="15.7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</row>
    <row r="51" spans="1:13" ht="15.7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</row>
    <row r="52" spans="1:13" ht="15.7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</row>
    <row r="53" spans="1:13" ht="15.7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</row>
    <row r="54" spans="1:13" ht="15.7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</row>
    <row r="55" spans="1:13" ht="15.7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</row>
    <row r="56" spans="1:13" ht="15.7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</row>
    <row r="57" spans="1:13" ht="15.7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</row>
    <row r="58" spans="1:13" ht="15.7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</row>
    <row r="59" spans="1:13" ht="15.7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</row>
    <row r="60" spans="1:13" ht="15.7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</row>
    <row r="61" spans="1:13" ht="15.7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</row>
    <row r="62" spans="1:13" ht="15.7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</row>
    <row r="63" spans="1:13" ht="15.7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</row>
    <row r="64" spans="1:13" ht="15.7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</row>
    <row r="65" spans="1:13" ht="15.7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</row>
    <row r="66" spans="1:13" ht="15.7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</row>
    <row r="67" spans="1:13" ht="15.7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</row>
    <row r="68" spans="1:13" ht="15.7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</row>
    <row r="69" spans="1:13" ht="15.7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</row>
    <row r="70" spans="1:13" ht="15.7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</row>
    <row r="71" spans="1:13" ht="15.7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</row>
    <row r="72" spans="1:13" ht="15.7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</row>
    <row r="73" spans="1:13" ht="15.7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</row>
    <row r="74" spans="1:13" ht="15.7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</row>
    <row r="75" spans="1:13" ht="15.7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</row>
    <row r="76" spans="1:13" ht="15.7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</row>
    <row r="77" spans="1:13" ht="15.7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</row>
    <row r="78" spans="1:13" ht="15.7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</row>
    <row r="79" spans="1:13" ht="15.7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</row>
    <row r="80" spans="1:13" ht="15.7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</row>
    <row r="81" spans="1:13" ht="15.7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</row>
    <row r="82" spans="1:13" ht="15.7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</row>
    <row r="83" spans="1:13" ht="15.7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</row>
    <row r="84" spans="1:13" ht="15.7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</row>
    <row r="85" spans="1:13" ht="15.7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</row>
    <row r="86" spans="1:13" ht="15.7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</row>
    <row r="87" spans="1:13" ht="15.7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</row>
    <row r="88" spans="1:13" ht="15.7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</row>
    <row r="89" spans="1:13" ht="15.7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</row>
    <row r="90" spans="1:13" ht="15.7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</row>
    <row r="91" spans="1:13" ht="15.7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</row>
    <row r="92" spans="1:13" ht="15.7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</row>
    <row r="93" spans="1:13" ht="15.7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</row>
    <row r="94" spans="1:13" ht="15.7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</row>
    <row r="95" spans="1:13" ht="15.7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</row>
    <row r="96" spans="1:13" ht="15.7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</row>
    <row r="97" spans="1:13" ht="15.7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</row>
    <row r="98" spans="1:13" ht="15.7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</row>
    <row r="99" spans="1:13" ht="15.7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</row>
    <row r="100" spans="1:13" ht="15.7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</row>
    <row r="101" spans="1:13" ht="15.7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</row>
    <row r="102" spans="1:13" ht="15.7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</row>
    <row r="103" spans="1:13" ht="15.7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</row>
    <row r="104" spans="1:13" ht="15.7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</row>
    <row r="105" spans="1:13" ht="15.7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</row>
    <row r="106" spans="1:13" ht="15.7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</row>
    <row r="107" spans="1:13" ht="15.7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</row>
    <row r="108" spans="1:13" ht="15.7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</row>
    <row r="109" spans="1:13" ht="15.7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</row>
    <row r="110" spans="1:13" ht="15.7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</row>
    <row r="111" spans="1:13" ht="15.7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</row>
    <row r="112" spans="1:13" ht="15.7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</row>
    <row r="113" spans="1:13" ht="15.7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</row>
    <row r="114" spans="1:13" ht="15.7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</row>
    <row r="115" spans="1:13" ht="15.7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</row>
    <row r="116" spans="1:13" ht="15.7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</row>
    <row r="117" spans="1:13" ht="15.7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</row>
    <row r="118" spans="1:13" ht="15.7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</row>
    <row r="119" spans="1:13" ht="15.7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</row>
    <row r="120" spans="1:13" ht="15.7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</row>
    <row r="121" spans="1:13" ht="15.7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</row>
    <row r="122" spans="1:13" ht="15.7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</row>
    <row r="123" spans="1:13" ht="15.7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</row>
    <row r="124" spans="1:13" ht="15.7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</row>
    <row r="125" spans="1:13" ht="15.7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</row>
    <row r="126" spans="1:13" ht="15.7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</row>
    <row r="127" spans="1:13" ht="15.7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</row>
    <row r="128" spans="1:13" ht="15.7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</row>
    <row r="129" spans="1:13" ht="15.7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</row>
    <row r="130" spans="1:13" ht="15.7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</row>
    <row r="131" spans="1:13" ht="15.7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</row>
    <row r="132" spans="1:13" ht="15.7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</row>
    <row r="133" spans="1:13" ht="15.7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</row>
    <row r="134" spans="1:13" ht="15.7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</row>
    <row r="135" spans="1:13" ht="15.7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</row>
    <row r="136" spans="1:13" ht="15.7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</row>
    <row r="137" spans="1:13" ht="15.7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</row>
    <row r="138" spans="1:13" ht="15.7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43AB8-B23A-4990-A772-3CD275FAD335}">
  <dimension ref="A1:R56"/>
  <sheetViews>
    <sheetView showGridLines="0" topLeftCell="A4" workbookViewId="0">
      <selection sqref="A1:H2"/>
    </sheetView>
  </sheetViews>
  <sheetFormatPr defaultRowHeight="15"/>
  <cols>
    <col min="1" max="3" width="1.28515625" customWidth="1"/>
    <col min="4" max="4" width="36.85546875" customWidth="1"/>
    <col min="5" max="5" width="10.7109375" bestFit="1" customWidth="1"/>
    <col min="6" max="6" width="13.7109375" bestFit="1" customWidth="1"/>
    <col min="7" max="7" width="14.85546875" bestFit="1" customWidth="1"/>
    <col min="8" max="8" width="13.7109375" bestFit="1" customWidth="1"/>
    <col min="9" max="9" width="11.85546875" bestFit="1" customWidth="1"/>
    <col min="10" max="10" width="14.85546875" bestFit="1" customWidth="1"/>
    <col min="12" max="12" width="13.7109375" bestFit="1" customWidth="1"/>
    <col min="13" max="14" width="11.85546875" bestFit="1" customWidth="1"/>
    <col min="16" max="16" width="10" bestFit="1" customWidth="1"/>
    <col min="17" max="17" width="13.42578125" bestFit="1" customWidth="1"/>
    <col min="18" max="18" width="9.5703125" bestFit="1" customWidth="1"/>
  </cols>
  <sheetData>
    <row r="1" spans="1:18" ht="35.25">
      <c r="A1" s="45" t="str">
        <f>Sheet1!B1</f>
        <v>Alkem Laboratories Ltd</v>
      </c>
      <c r="B1" s="46"/>
      <c r="C1" s="46"/>
      <c r="D1" s="46"/>
      <c r="E1" s="46"/>
      <c r="F1" s="46"/>
      <c r="G1" s="40"/>
      <c r="H1" s="40"/>
      <c r="I1" s="40"/>
      <c r="J1" s="40"/>
      <c r="K1" s="40"/>
      <c r="L1" s="40"/>
      <c r="M1" s="40"/>
      <c r="N1" s="40"/>
    </row>
    <row r="2" spans="1:18" ht="18.75">
      <c r="A2" s="86" t="s">
        <v>254</v>
      </c>
      <c r="B2" s="48"/>
      <c r="C2" s="47"/>
      <c r="D2" s="47"/>
      <c r="E2" s="47"/>
      <c r="F2" s="47"/>
      <c r="G2" s="40"/>
      <c r="H2" s="40"/>
      <c r="I2" s="40"/>
      <c r="J2" s="40"/>
      <c r="K2" s="40"/>
      <c r="L2" s="40"/>
      <c r="M2" s="40"/>
      <c r="N2" s="40"/>
    </row>
    <row r="5" spans="1:18" ht="16.5">
      <c r="D5" s="102"/>
      <c r="E5" s="103" t="s">
        <v>260</v>
      </c>
      <c r="F5" s="103"/>
      <c r="G5" s="103"/>
      <c r="H5" s="103"/>
      <c r="I5" s="103"/>
      <c r="J5" s="103"/>
      <c r="K5" s="102"/>
      <c r="L5" s="108" t="s">
        <v>265</v>
      </c>
      <c r="M5" s="108"/>
      <c r="N5" s="108"/>
      <c r="O5" s="104"/>
      <c r="P5" s="103" t="s">
        <v>267</v>
      </c>
      <c r="Q5" s="103"/>
      <c r="R5" s="103"/>
    </row>
    <row r="6" spans="1:18" ht="16.5">
      <c r="D6" s="102"/>
      <c r="E6" s="104" t="s">
        <v>256</v>
      </c>
      <c r="F6" s="104" t="s">
        <v>258</v>
      </c>
      <c r="G6" s="104" t="s">
        <v>261</v>
      </c>
      <c r="H6" s="105" t="s">
        <v>129</v>
      </c>
      <c r="I6" s="105" t="s">
        <v>115</v>
      </c>
      <c r="J6" s="105" t="s">
        <v>264</v>
      </c>
      <c r="K6" s="102"/>
      <c r="L6" s="107" t="s">
        <v>81</v>
      </c>
      <c r="M6" s="107" t="s">
        <v>100</v>
      </c>
      <c r="N6" s="107" t="s">
        <v>266</v>
      </c>
      <c r="O6" s="104"/>
      <c r="P6" s="104" t="s">
        <v>268</v>
      </c>
      <c r="Q6" s="104" t="s">
        <v>269</v>
      </c>
      <c r="R6" s="104" t="s">
        <v>270</v>
      </c>
    </row>
    <row r="7" spans="1:18" ht="16.5">
      <c r="D7" s="104" t="s">
        <v>255</v>
      </c>
      <c r="E7" s="106" t="s">
        <v>257</v>
      </c>
      <c r="F7" s="105" t="s">
        <v>259</v>
      </c>
      <c r="G7" s="107" t="s">
        <v>262</v>
      </c>
      <c r="H7" s="104"/>
      <c r="I7" s="104" t="s">
        <v>263</v>
      </c>
      <c r="J7" s="107" t="s">
        <v>262</v>
      </c>
      <c r="K7" s="102"/>
      <c r="L7" s="107" t="s">
        <v>262</v>
      </c>
      <c r="M7" s="107" t="s">
        <v>262</v>
      </c>
      <c r="N7" s="107" t="s">
        <v>262</v>
      </c>
      <c r="O7" s="104"/>
      <c r="P7" s="105" t="s">
        <v>271</v>
      </c>
      <c r="Q7" s="105" t="s">
        <v>271</v>
      </c>
      <c r="R7" s="105" t="s">
        <v>271</v>
      </c>
    </row>
    <row r="8" spans="1:18" ht="16.5">
      <c r="D8" s="8" t="str">
        <f>'Comps Data'!B6</f>
        <v>Zydus Lifesciences Limited</v>
      </c>
      <c r="E8" s="113">
        <f>'Comps Data'!D6</f>
        <v>860.55</v>
      </c>
      <c r="F8" s="8">
        <f>'Comps Data'!E6</f>
        <v>1006.3</v>
      </c>
      <c r="G8" s="113">
        <f>E8*F8</f>
        <v>865971.46499999997</v>
      </c>
      <c r="H8" s="113">
        <f>'Comps Data'!F6</f>
        <v>100496.74</v>
      </c>
      <c r="I8" s="113">
        <f>'Comps Data'!G6</f>
        <v>9068.66</v>
      </c>
      <c r="J8" s="113">
        <f>G8+H8-I8</f>
        <v>957399.54499999993</v>
      </c>
      <c r="K8" s="8"/>
      <c r="L8" s="113">
        <f>'Comps Data'!H6</f>
        <v>272090.33</v>
      </c>
      <c r="M8" s="113">
        <f>'Comps Data'!I6</f>
        <v>75899.23</v>
      </c>
      <c r="N8" s="113">
        <f>'Comps Data'!J6</f>
        <v>51503.519999999997</v>
      </c>
      <c r="P8" s="115">
        <f>J8/L8</f>
        <v>3.5186827293715286</v>
      </c>
      <c r="Q8" s="115">
        <f>J8/M8</f>
        <v>12.61408771867646</v>
      </c>
      <c r="R8" s="115">
        <f>G8/N8</f>
        <v>16.813830685747305</v>
      </c>
    </row>
    <row r="9" spans="1:18" ht="16.5">
      <c r="D9" s="8" t="str">
        <f>'Comps Data'!B7</f>
        <v>Torrent Pharmaceuticals Limited</v>
      </c>
      <c r="E9" s="113">
        <f>'Comps Data'!D7</f>
        <v>4213.95</v>
      </c>
      <c r="F9" s="8">
        <f>'Comps Data'!E7</f>
        <v>338.5</v>
      </c>
      <c r="G9" s="113">
        <f t="shared" ref="G9:G14" si="0">E9*F9</f>
        <v>1426422.075</v>
      </c>
      <c r="H9" s="113">
        <f>'Comps Data'!F7</f>
        <v>29431.18</v>
      </c>
      <c r="I9" s="113">
        <f>'Comps Data'!G7</f>
        <v>6290.15</v>
      </c>
      <c r="J9" s="113">
        <f t="shared" ref="J9:J14" si="1">G9+H9-I9</f>
        <v>1449563.105</v>
      </c>
      <c r="K9" s="8"/>
      <c r="L9" s="113">
        <f>'Comps Data'!H7</f>
        <v>132889.71</v>
      </c>
      <c r="M9" s="113">
        <f>'Comps Data'!I7</f>
        <v>42788.13</v>
      </c>
      <c r="N9" s="113">
        <f>'Comps Data'!J7</f>
        <v>23697.73</v>
      </c>
      <c r="P9" s="115">
        <f t="shared" ref="P9:P14" si="2">J9/L9</f>
        <v>10.908016166187736</v>
      </c>
      <c r="Q9" s="115">
        <f t="shared" ref="Q9:Q14" si="3">J9/M9</f>
        <v>33.877692364681515</v>
      </c>
      <c r="R9" s="115">
        <f t="shared" ref="R9:R14" si="4">G9/N9</f>
        <v>60.192350701944868</v>
      </c>
    </row>
    <row r="10" spans="1:18" ht="16.5">
      <c r="D10" s="8" t="str">
        <f>'Comps Data'!B8</f>
        <v>Dr. Reddy's Laboratories Limited</v>
      </c>
      <c r="E10" s="113">
        <f>'Comps Data'!D8</f>
        <v>1252.55</v>
      </c>
      <c r="F10" s="8">
        <f>'Comps Data'!E8</f>
        <v>832.9</v>
      </c>
      <c r="G10" s="113">
        <f t="shared" si="0"/>
        <v>1043248.8949999999</v>
      </c>
      <c r="H10" s="113">
        <f>'Comps Data'!F8</f>
        <v>70639.009999999995</v>
      </c>
      <c r="I10" s="113">
        <f>'Comps Data'!G8</f>
        <v>19457.740000000002</v>
      </c>
      <c r="J10" s="113">
        <f t="shared" si="1"/>
        <v>1094430.1649999998</v>
      </c>
      <c r="K10" s="8"/>
      <c r="L10" s="113">
        <f>'Comps Data'!H8</f>
        <v>360673.8</v>
      </c>
      <c r="M10" s="113">
        <f>'Comps Data'!I8</f>
        <v>88424.95</v>
      </c>
      <c r="N10" s="113">
        <f>'Comps Data'!J8</f>
        <v>59015.67</v>
      </c>
      <c r="P10" s="115">
        <f t="shared" si="2"/>
        <v>3.0344043981015529</v>
      </c>
      <c r="Q10" s="115">
        <f t="shared" si="3"/>
        <v>12.376938465896783</v>
      </c>
      <c r="R10" s="115">
        <f t="shared" si="4"/>
        <v>17.677489639616052</v>
      </c>
    </row>
    <row r="11" spans="1:18" ht="16.5">
      <c r="D11" s="8" t="str">
        <f>'Comps Data'!B9</f>
        <v>Aurobindo Pharma Limited</v>
      </c>
      <c r="E11" s="113">
        <f>'Comps Data'!D9</f>
        <v>1279.3</v>
      </c>
      <c r="F11" s="8">
        <f>'Comps Data'!E9</f>
        <v>580.79999999999995</v>
      </c>
      <c r="G11" s="113">
        <f t="shared" si="0"/>
        <v>743017.44</v>
      </c>
      <c r="H11" s="113">
        <f>'Comps Data'!F9</f>
        <v>81290.34</v>
      </c>
      <c r="I11" s="113">
        <f>'Comps Data'!G9</f>
        <v>61082.41</v>
      </c>
      <c r="J11" s="113">
        <f t="shared" si="1"/>
        <v>763225.36999999988</v>
      </c>
      <c r="K11" s="8"/>
      <c r="L11" s="113">
        <f>'Comps Data'!H9</f>
        <v>346060</v>
      </c>
      <c r="M11" s="113">
        <f>'Comps Data'!I9</f>
        <v>69727.679999999993</v>
      </c>
      <c r="N11" s="113">
        <f>'Comps Data'!J9</f>
        <v>36366.18</v>
      </c>
      <c r="P11" s="115">
        <f t="shared" si="2"/>
        <v>2.2054712188637806</v>
      </c>
      <c r="Q11" s="115">
        <f t="shared" si="3"/>
        <v>10.945801868067315</v>
      </c>
      <c r="R11" s="115">
        <f t="shared" si="4"/>
        <v>20.431550413048605</v>
      </c>
    </row>
    <row r="12" spans="1:18" ht="16.5">
      <c r="D12" s="8" t="str">
        <f>'Comps Data'!B10</f>
        <v>Glenmark Pharmaceuticals Limited</v>
      </c>
      <c r="E12" s="113">
        <f>'Comps Data'!D10</f>
        <v>2081</v>
      </c>
      <c r="F12" s="8">
        <f>'Comps Data'!E10</f>
        <v>282.3</v>
      </c>
      <c r="G12" s="113">
        <f t="shared" si="0"/>
        <v>587466.30000000005</v>
      </c>
      <c r="H12" s="113">
        <f>'Comps Data'!F10</f>
        <v>12767.18</v>
      </c>
      <c r="I12" s="113">
        <f>'Comps Data'!G10</f>
        <v>18379.810000000001</v>
      </c>
      <c r="J12" s="113">
        <f t="shared" si="1"/>
        <v>581853.67000000004</v>
      </c>
      <c r="K12" s="8"/>
      <c r="L12" s="113">
        <f>'Comps Data'!H10</f>
        <v>172182.69</v>
      </c>
      <c r="M12" s="113">
        <f>'Comps Data'!I10</f>
        <v>42027.44</v>
      </c>
      <c r="N12" s="113">
        <f>'Comps Data'!J10</f>
        <v>11108</v>
      </c>
      <c r="P12" s="115">
        <f t="shared" si="2"/>
        <v>3.3792808673159889</v>
      </c>
      <c r="Q12" s="115">
        <f t="shared" si="3"/>
        <v>13.844613661931348</v>
      </c>
      <c r="R12" s="115">
        <f t="shared" si="4"/>
        <v>52.88677529708319</v>
      </c>
    </row>
    <row r="13" spans="1:18" ht="16.5">
      <c r="D13" s="8" t="str">
        <f>'Comps Data'!B11</f>
        <v>Lupin Limited</v>
      </c>
      <c r="E13" s="113">
        <f>'Comps Data'!D11</f>
        <v>2297.1999999999998</v>
      </c>
      <c r="F13" s="8">
        <f>'Comps Data'!E11</f>
        <v>458.2</v>
      </c>
      <c r="G13" s="113">
        <f t="shared" si="0"/>
        <v>1052577.0399999998</v>
      </c>
      <c r="H13" s="113">
        <f>'Comps Data'!F11</f>
        <v>64838.29</v>
      </c>
      <c r="I13" s="113">
        <f>'Comps Data'!G11</f>
        <v>16931.79</v>
      </c>
      <c r="J13" s="113">
        <f t="shared" si="1"/>
        <v>1100483.5399999998</v>
      </c>
      <c r="K13" s="8"/>
      <c r="L13" s="113">
        <f>'Comps Data'!H11</f>
        <v>272728.59000000003</v>
      </c>
      <c r="M13" s="113">
        <f>'Comps Data'!I11</f>
        <v>71507.179999999993</v>
      </c>
      <c r="N13" s="113">
        <f>'Comps Data'!J11</f>
        <v>48444.02</v>
      </c>
      <c r="P13" s="115">
        <f t="shared" si="2"/>
        <v>4.0350868238639732</v>
      </c>
      <c r="Q13" s="115">
        <f t="shared" si="3"/>
        <v>15.389832741271574</v>
      </c>
      <c r="R13" s="115">
        <f t="shared" si="4"/>
        <v>21.727698072951004</v>
      </c>
    </row>
    <row r="14" spans="1:18" ht="16.5">
      <c r="D14" s="8" t="str">
        <f>'Comps Data'!B12</f>
        <v>Mankind Pharma Limited</v>
      </c>
      <c r="E14" s="113">
        <f>'Comps Data'!D12</f>
        <v>1922.45</v>
      </c>
      <c r="F14" s="8">
        <f>'Comps Data'!E12</f>
        <v>412.8</v>
      </c>
      <c r="G14" s="113">
        <f t="shared" si="0"/>
        <v>793587.36</v>
      </c>
      <c r="H14" s="113">
        <f>'Comps Data'!F12</f>
        <v>87278.26</v>
      </c>
      <c r="I14" s="113">
        <f>'Comps Data'!G12</f>
        <v>4468.08</v>
      </c>
      <c r="J14" s="113">
        <f>G14+H14-I14</f>
        <v>876397.54</v>
      </c>
      <c r="K14" s="8"/>
      <c r="L14" s="113">
        <f>'Comps Data'!H12</f>
        <v>145112.62</v>
      </c>
      <c r="M14" s="113">
        <f>'Comps Data'!I12</f>
        <v>33718.33</v>
      </c>
      <c r="N14" s="113">
        <f>'Comps Data'!J12</f>
        <v>18557.18</v>
      </c>
      <c r="P14" s="115">
        <f t="shared" si="2"/>
        <v>6.0394302025557813</v>
      </c>
      <c r="Q14" s="115">
        <f t="shared" si="3"/>
        <v>25.99172438255394</v>
      </c>
      <c r="R14" s="115">
        <f t="shared" si="4"/>
        <v>42.764437269024711</v>
      </c>
    </row>
    <row r="15" spans="1:18" ht="16.5">
      <c r="D15" s="8"/>
      <c r="E15" s="8"/>
      <c r="F15" s="8"/>
      <c r="G15" s="8"/>
      <c r="H15" s="8"/>
      <c r="I15" s="8"/>
      <c r="J15" s="8"/>
      <c r="K15" s="8"/>
      <c r="L15" s="8"/>
      <c r="M15" s="8"/>
    </row>
    <row r="16" spans="1:18" ht="16.5">
      <c r="D16" s="104" t="s">
        <v>294</v>
      </c>
      <c r="E16" s="104"/>
      <c r="F16" s="104"/>
      <c r="G16" s="104"/>
      <c r="H16" s="104"/>
      <c r="I16" s="104"/>
      <c r="J16" s="104"/>
      <c r="K16" s="104"/>
      <c r="L16" s="104"/>
      <c r="M16" s="104"/>
      <c r="N16" s="5"/>
      <c r="O16" s="5"/>
      <c r="P16" s="116">
        <f>AVERAGE(P8:P14)</f>
        <v>4.7314817723229066</v>
      </c>
      <c r="Q16" s="116">
        <f t="shared" ref="Q16:R16" si="5">AVERAGE(Q8:Q14)</f>
        <v>17.862955886154133</v>
      </c>
      <c r="R16" s="116">
        <f t="shared" si="5"/>
        <v>33.213447439916536</v>
      </c>
    </row>
    <row r="17" spans="4:18" ht="16.5">
      <c r="D17" s="104" t="s">
        <v>295</v>
      </c>
      <c r="E17" s="104"/>
      <c r="F17" s="104"/>
      <c r="G17" s="104"/>
      <c r="H17" s="104"/>
      <c r="I17" s="104"/>
      <c r="J17" s="104"/>
      <c r="K17" s="104"/>
      <c r="L17" s="104"/>
      <c r="M17" s="104"/>
      <c r="N17" s="5"/>
      <c r="O17" s="5"/>
      <c r="P17" s="116">
        <f>MEDIAN(P8:P14)</f>
        <v>3.5186827293715286</v>
      </c>
      <c r="Q17" s="116">
        <f t="shared" ref="Q17:R17" si="6">MEDIAN(Q8:Q14)</f>
        <v>13.844613661931348</v>
      </c>
      <c r="R17" s="116">
        <f t="shared" si="6"/>
        <v>21.727698072951004</v>
      </c>
    </row>
    <row r="18" spans="4:18" ht="16.5">
      <c r="D18" s="8"/>
      <c r="E18" s="8"/>
      <c r="F18" s="8"/>
      <c r="G18" s="8"/>
      <c r="H18" s="8"/>
      <c r="I18" s="8"/>
      <c r="J18" s="8"/>
      <c r="K18" s="8"/>
      <c r="L18" s="8"/>
      <c r="M18" s="8"/>
    </row>
    <row r="19" spans="4:18" ht="16.5">
      <c r="D19" s="8" t="s">
        <v>0</v>
      </c>
      <c r="E19" s="113">
        <f>'Comps Data'!D4</f>
        <v>5145.6000000000004</v>
      </c>
      <c r="F19" s="113">
        <f>'Comps Data'!E4</f>
        <v>119.6</v>
      </c>
      <c r="G19" s="113">
        <f>E19*F19</f>
        <v>615413.76000000001</v>
      </c>
      <c r="H19" s="113">
        <f>'Comps Data'!F4</f>
        <v>24567.01</v>
      </c>
      <c r="I19" s="8">
        <f>'Comps Data'!G4</f>
        <v>3335.93</v>
      </c>
      <c r="J19" s="113">
        <f>G19+H19-I19</f>
        <v>636644.84</v>
      </c>
      <c r="K19" s="8"/>
      <c r="L19" s="113">
        <f>'Comps Data'!H4</f>
        <v>148644.15</v>
      </c>
      <c r="M19" s="113">
        <f>'Comps Data'!I4</f>
        <v>29569.94</v>
      </c>
      <c r="N19" s="113">
        <f>'Comps Data'!J4</f>
        <v>24729.7</v>
      </c>
      <c r="P19" s="115">
        <f>J19/L19</f>
        <v>4.2830130886415647</v>
      </c>
      <c r="Q19" s="115">
        <f>J19/M19</f>
        <v>21.530136347926305</v>
      </c>
      <c r="R19" s="115">
        <f>G19/N19</f>
        <v>24.885613654836089</v>
      </c>
    </row>
    <row r="20" spans="4:18" ht="16.5">
      <c r="D20" s="8"/>
      <c r="E20" s="8"/>
      <c r="F20" s="8"/>
      <c r="G20" s="8"/>
      <c r="H20" s="8"/>
      <c r="I20" s="8"/>
      <c r="J20" s="8"/>
      <c r="K20" s="8"/>
      <c r="L20" s="8"/>
      <c r="M20" s="8"/>
    </row>
    <row r="21" spans="4:18" ht="16.5">
      <c r="D21" s="119" t="s">
        <v>296</v>
      </c>
      <c r="E21" s="119" t="s">
        <v>299</v>
      </c>
      <c r="F21" s="119" t="s">
        <v>264</v>
      </c>
      <c r="G21" s="119" t="s">
        <v>300</v>
      </c>
      <c r="H21" s="119" t="s">
        <v>301</v>
      </c>
      <c r="I21" s="119" t="s">
        <v>258</v>
      </c>
      <c r="J21" s="119" t="s">
        <v>302</v>
      </c>
      <c r="K21" s="8"/>
      <c r="L21" s="8"/>
      <c r="M21" s="8"/>
    </row>
    <row r="22" spans="4:18" ht="16.5">
      <c r="D22" s="8" t="s">
        <v>297</v>
      </c>
      <c r="E22" s="118">
        <f>P17</f>
        <v>3.5186827293715286</v>
      </c>
      <c r="F22" s="113">
        <f>E22*L19</f>
        <v>523031.60342711088</v>
      </c>
      <c r="G22" s="113">
        <f>H19-I19</f>
        <v>21231.079999999998</v>
      </c>
      <c r="H22" s="113">
        <f>F22-G22</f>
        <v>501800.52342711086</v>
      </c>
      <c r="I22" s="113">
        <f>F19</f>
        <v>119.6</v>
      </c>
      <c r="J22" s="120">
        <f>H22/I22</f>
        <v>4195.6565503939037</v>
      </c>
      <c r="K22" s="8"/>
      <c r="L22" s="8"/>
      <c r="M22" s="8"/>
    </row>
    <row r="23" spans="4:18" ht="16.5">
      <c r="D23" s="8" t="s">
        <v>269</v>
      </c>
      <c r="E23" s="118">
        <f>Q17</f>
        <v>13.844613661931348</v>
      </c>
      <c r="F23" s="113">
        <f>E23*M19</f>
        <v>409384.39530649025</v>
      </c>
      <c r="G23" s="113">
        <f>G22</f>
        <v>21231.079999999998</v>
      </c>
      <c r="H23" s="113">
        <f t="shared" ref="H23" si="7">F23-G23</f>
        <v>388153.31530649023</v>
      </c>
      <c r="I23" s="113">
        <f>I22</f>
        <v>119.6</v>
      </c>
      <c r="J23" s="120">
        <f t="shared" ref="J23:J24" si="8">H23/I23</f>
        <v>3245.429057746574</v>
      </c>
      <c r="K23" s="8"/>
      <c r="L23" s="8"/>
      <c r="M23" s="8"/>
    </row>
    <row r="24" spans="4:18" ht="16.5">
      <c r="D24" s="8" t="s">
        <v>298</v>
      </c>
      <c r="E24" s="118">
        <f>R17</f>
        <v>21.727698072951004</v>
      </c>
      <c r="F24" s="113">
        <f>H24+G24</f>
        <v>558550.53503465641</v>
      </c>
      <c r="G24" s="113">
        <f>G23</f>
        <v>21231.079999999998</v>
      </c>
      <c r="H24" s="113">
        <f>E24*N19</f>
        <v>537319.45503465645</v>
      </c>
      <c r="I24" s="113">
        <f t="shared" ref="I24" si="9">I23</f>
        <v>119.6</v>
      </c>
      <c r="J24" s="120">
        <f t="shared" si="8"/>
        <v>4492.6375839018101</v>
      </c>
      <c r="K24" s="8"/>
      <c r="L24" s="8"/>
      <c r="M24" s="8"/>
    </row>
    <row r="25" spans="4:18" ht="16.5">
      <c r="D25" s="8"/>
      <c r="E25" s="8"/>
      <c r="F25" s="8"/>
      <c r="G25" s="8"/>
      <c r="H25" s="8"/>
      <c r="I25" s="8"/>
      <c r="J25" s="8"/>
      <c r="K25" s="8"/>
      <c r="L25" s="8"/>
      <c r="M25" s="8"/>
    </row>
    <row r="26" spans="4:18" ht="16.5">
      <c r="D26" s="8"/>
      <c r="E26" s="8"/>
      <c r="F26" s="8"/>
      <c r="G26" s="8"/>
      <c r="H26" s="8"/>
      <c r="I26" s="8"/>
      <c r="J26" s="8"/>
      <c r="K26" s="8"/>
      <c r="L26" s="8"/>
      <c r="M26" s="8"/>
    </row>
    <row r="27" spans="4:18" ht="16.5">
      <c r="D27" s="8"/>
      <c r="E27" s="8"/>
      <c r="F27" s="8"/>
      <c r="G27" s="8"/>
      <c r="H27" s="8"/>
      <c r="I27" s="8"/>
      <c r="J27" s="8"/>
      <c r="K27" s="8"/>
      <c r="L27" s="8"/>
      <c r="M27" s="8"/>
    </row>
    <row r="28" spans="4:18" ht="16.5"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4:18" ht="16.5">
      <c r="D29" s="8"/>
      <c r="E29" s="8"/>
      <c r="F29" s="8"/>
      <c r="G29" s="8"/>
      <c r="H29" s="8"/>
      <c r="I29" s="8"/>
      <c r="J29" s="8"/>
      <c r="K29" s="8"/>
      <c r="L29" s="8"/>
      <c r="M29" s="8"/>
    </row>
    <row r="30" spans="4:18" ht="16.5">
      <c r="D30" s="8"/>
      <c r="E30" s="8"/>
      <c r="F30" s="8"/>
      <c r="G30" s="8"/>
      <c r="H30" s="8"/>
      <c r="I30" s="8"/>
      <c r="J30" s="8"/>
      <c r="K30" s="8"/>
      <c r="L30" s="8"/>
      <c r="M30" s="8"/>
    </row>
    <row r="31" spans="4:18" ht="16.5">
      <c r="D31" s="8"/>
      <c r="E31" s="8"/>
      <c r="F31" s="8"/>
      <c r="G31" s="8"/>
      <c r="H31" s="8"/>
      <c r="I31" s="8"/>
      <c r="J31" s="8"/>
      <c r="K31" s="8"/>
      <c r="L31" s="8"/>
      <c r="M31" s="8"/>
    </row>
    <row r="32" spans="4:18" ht="16.5">
      <c r="D32" s="8"/>
      <c r="E32" s="8"/>
      <c r="F32" s="8"/>
      <c r="G32" s="8"/>
      <c r="H32" s="8"/>
      <c r="I32" s="8"/>
      <c r="J32" s="8"/>
      <c r="K32" s="8"/>
      <c r="L32" s="8"/>
      <c r="M32" s="8"/>
    </row>
    <row r="33" spans="4:13" ht="16.5">
      <c r="D33" s="8"/>
      <c r="E33" s="8"/>
      <c r="F33" s="8"/>
      <c r="G33" s="8"/>
      <c r="H33" s="8"/>
      <c r="I33" s="8"/>
      <c r="J33" s="8"/>
      <c r="K33" s="8"/>
      <c r="L33" s="8"/>
      <c r="M33" s="8"/>
    </row>
    <row r="34" spans="4:13" ht="16.5">
      <c r="D34" s="8"/>
      <c r="E34" s="8"/>
      <c r="F34" s="8"/>
      <c r="G34" s="8"/>
      <c r="H34" s="8"/>
      <c r="I34" s="8"/>
      <c r="J34" s="8"/>
      <c r="K34" s="8"/>
      <c r="L34" s="8"/>
      <c r="M34" s="8"/>
    </row>
    <row r="35" spans="4:13" ht="16.5">
      <c r="D35" s="8"/>
      <c r="E35" s="8"/>
      <c r="F35" s="8"/>
      <c r="G35" s="8"/>
      <c r="H35" s="8"/>
      <c r="I35" s="8"/>
      <c r="J35" s="8"/>
      <c r="K35" s="8"/>
      <c r="L35" s="8"/>
      <c r="M35" s="8"/>
    </row>
    <row r="36" spans="4:13" ht="16.5">
      <c r="D36" s="8"/>
      <c r="E36" s="8"/>
      <c r="F36" s="8"/>
      <c r="G36" s="8"/>
      <c r="H36" s="8"/>
      <c r="I36" s="8"/>
      <c r="J36" s="8"/>
      <c r="K36" s="8"/>
      <c r="L36" s="8"/>
      <c r="M36" s="8"/>
    </row>
    <row r="37" spans="4:13" ht="16.5">
      <c r="D37" s="8"/>
      <c r="E37" s="8"/>
      <c r="F37" s="8"/>
      <c r="G37" s="8"/>
      <c r="H37" s="8"/>
      <c r="I37" s="8"/>
      <c r="J37" s="8"/>
      <c r="K37" s="8"/>
      <c r="L37" s="8"/>
      <c r="M37" s="8"/>
    </row>
    <row r="38" spans="4:13" ht="16.5">
      <c r="D38" s="8"/>
      <c r="E38" s="8"/>
      <c r="F38" s="8"/>
      <c r="G38" s="8"/>
      <c r="H38" s="8"/>
      <c r="I38" s="8"/>
      <c r="J38" s="8"/>
      <c r="K38" s="8"/>
      <c r="L38" s="8"/>
      <c r="M38" s="8"/>
    </row>
    <row r="39" spans="4:13" ht="16.5">
      <c r="D39" s="8"/>
      <c r="E39" s="8"/>
      <c r="F39" s="8"/>
      <c r="G39" s="8"/>
      <c r="H39" s="8"/>
      <c r="I39" s="8"/>
      <c r="J39" s="8"/>
      <c r="K39" s="8"/>
      <c r="L39" s="8"/>
      <c r="M39" s="8"/>
    </row>
    <row r="40" spans="4:13" ht="16.5">
      <c r="D40" s="8"/>
      <c r="E40" s="8"/>
      <c r="F40" s="8"/>
      <c r="G40" s="8"/>
      <c r="H40" s="8"/>
      <c r="I40" s="8"/>
      <c r="J40" s="8"/>
      <c r="K40" s="8"/>
      <c r="L40" s="8"/>
      <c r="M40" s="8"/>
    </row>
    <row r="41" spans="4:13" ht="16.5">
      <c r="D41" s="8"/>
      <c r="E41" s="8"/>
      <c r="F41" s="8"/>
      <c r="G41" s="8"/>
      <c r="H41" s="8"/>
      <c r="I41" s="8"/>
      <c r="J41" s="8"/>
      <c r="K41" s="8"/>
      <c r="L41" s="8"/>
      <c r="M41" s="8"/>
    </row>
    <row r="42" spans="4:13" ht="16.5">
      <c r="D42" s="8"/>
      <c r="E42" s="8"/>
      <c r="F42" s="8"/>
      <c r="G42" s="8"/>
      <c r="H42" s="8"/>
      <c r="I42" s="8"/>
      <c r="J42" s="8"/>
      <c r="K42" s="8"/>
      <c r="L42" s="8"/>
      <c r="M42" s="8"/>
    </row>
    <row r="43" spans="4:13" ht="16.5">
      <c r="D43" s="8"/>
      <c r="E43" s="8"/>
      <c r="F43" s="8"/>
      <c r="G43" s="8"/>
      <c r="H43" s="8"/>
      <c r="I43" s="8"/>
      <c r="J43" s="8"/>
      <c r="K43" s="8"/>
      <c r="L43" s="8"/>
      <c r="M43" s="8"/>
    </row>
    <row r="44" spans="4:13" ht="16.5">
      <c r="D44" s="8"/>
      <c r="E44" s="8"/>
      <c r="F44" s="8"/>
      <c r="G44" s="8"/>
      <c r="H44" s="8"/>
      <c r="I44" s="8"/>
      <c r="J44" s="8"/>
      <c r="K44" s="8"/>
      <c r="L44" s="8"/>
      <c r="M44" s="8"/>
    </row>
    <row r="45" spans="4:13" ht="16.5">
      <c r="D45" s="8"/>
      <c r="E45" s="8"/>
      <c r="F45" s="8"/>
      <c r="G45" s="8"/>
      <c r="H45" s="8"/>
      <c r="I45" s="8"/>
      <c r="J45" s="8"/>
      <c r="K45" s="8"/>
      <c r="L45" s="8"/>
      <c r="M45" s="8"/>
    </row>
    <row r="46" spans="4:13" ht="16.5">
      <c r="D46" s="8"/>
      <c r="E46" s="8"/>
      <c r="F46" s="8"/>
      <c r="G46" s="8"/>
      <c r="H46" s="8"/>
      <c r="I46" s="8"/>
      <c r="J46" s="8"/>
      <c r="K46" s="8"/>
      <c r="L46" s="8"/>
      <c r="M46" s="8"/>
    </row>
    <row r="47" spans="4:13" ht="16.5">
      <c r="D47" s="8"/>
      <c r="E47" s="8"/>
      <c r="F47" s="8"/>
      <c r="G47" s="8"/>
      <c r="H47" s="8"/>
      <c r="I47" s="8"/>
      <c r="J47" s="8"/>
      <c r="K47" s="8"/>
      <c r="L47" s="8"/>
      <c r="M47" s="8"/>
    </row>
    <row r="48" spans="4:13" ht="16.5"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4:13" ht="16.5">
      <c r="D49" s="8"/>
      <c r="E49" s="8"/>
      <c r="F49" s="8"/>
      <c r="G49" s="8"/>
      <c r="H49" s="8"/>
      <c r="I49" s="8"/>
      <c r="J49" s="8"/>
      <c r="K49" s="8"/>
      <c r="L49" s="8"/>
      <c r="M49" s="8"/>
    </row>
    <row r="50" spans="4:13" ht="16.5">
      <c r="D50" s="8"/>
      <c r="E50" s="8"/>
      <c r="F50" s="8"/>
      <c r="G50" s="8"/>
      <c r="H50" s="8"/>
      <c r="I50" s="8"/>
      <c r="J50" s="8"/>
      <c r="K50" s="8"/>
      <c r="L50" s="8"/>
      <c r="M50" s="8"/>
    </row>
    <row r="51" spans="4:13" ht="16.5">
      <c r="D51" s="8"/>
      <c r="E51" s="8"/>
      <c r="F51" s="8"/>
      <c r="G51" s="8"/>
      <c r="H51" s="8"/>
      <c r="I51" s="8"/>
      <c r="J51" s="8"/>
      <c r="K51" s="8"/>
      <c r="L51" s="8"/>
      <c r="M51" s="8"/>
    </row>
    <row r="52" spans="4:13" ht="16.5">
      <c r="D52" s="8"/>
      <c r="E52" s="8"/>
      <c r="F52" s="8"/>
      <c r="G52" s="8"/>
      <c r="H52" s="8"/>
      <c r="I52" s="8"/>
      <c r="J52" s="8"/>
      <c r="K52" s="8"/>
      <c r="L52" s="8"/>
      <c r="M52" s="8"/>
    </row>
    <row r="53" spans="4:13" ht="16.5">
      <c r="D53" s="8"/>
      <c r="E53" s="8"/>
      <c r="F53" s="8"/>
      <c r="G53" s="8"/>
      <c r="H53" s="8"/>
      <c r="I53" s="8"/>
      <c r="J53" s="8"/>
      <c r="K53" s="8"/>
      <c r="L53" s="8"/>
      <c r="M53" s="8"/>
    </row>
    <row r="54" spans="4:13" ht="16.5">
      <c r="D54" s="8"/>
      <c r="E54" s="8"/>
      <c r="F54" s="8"/>
      <c r="G54" s="8"/>
      <c r="H54" s="8"/>
      <c r="I54" s="8"/>
      <c r="J54" s="8"/>
      <c r="K54" s="8"/>
      <c r="L54" s="8"/>
      <c r="M54" s="8"/>
    </row>
    <row r="55" spans="4:13" ht="16.5">
      <c r="D55" s="8"/>
      <c r="E55" s="8"/>
      <c r="F55" s="8"/>
      <c r="G55" s="8"/>
      <c r="H55" s="8"/>
      <c r="I55" s="8"/>
      <c r="J55" s="8"/>
      <c r="K55" s="8"/>
      <c r="L55" s="8"/>
      <c r="M55" s="8"/>
    </row>
    <row r="56" spans="4:13" ht="16.5">
      <c r="D56" s="8"/>
      <c r="E56" s="8"/>
      <c r="F56" s="8"/>
      <c r="G56" s="8"/>
      <c r="H56" s="8"/>
      <c r="I56" s="8"/>
      <c r="J56" s="8"/>
      <c r="K56" s="8"/>
      <c r="L56" s="8"/>
      <c r="M56" s="8"/>
    </row>
  </sheetData>
  <mergeCells count="3">
    <mergeCell ref="E5:J5"/>
    <mergeCell ref="L5:N5"/>
    <mergeCell ref="P5:R5"/>
  </mergeCells>
  <pageMargins left="0.7" right="0.7" top="0.75" bottom="0.75" header="0.3" footer="0.3"/>
  <ignoredErrors>
    <ignoredError sqref="H23:H24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CEDB-0E1C-461C-BFE5-E1BF40F4C4E1}">
  <dimension ref="B3:K13"/>
  <sheetViews>
    <sheetView workbookViewId="0">
      <selection activeCell="E5" sqref="E5"/>
    </sheetView>
  </sheetViews>
  <sheetFormatPr defaultRowHeight="15"/>
  <cols>
    <col min="2" max="2" width="32.28515625" bestFit="1" customWidth="1"/>
    <col min="3" max="3" width="14.140625" bestFit="1" customWidth="1"/>
    <col min="4" max="4" width="10.5703125" bestFit="1" customWidth="1"/>
    <col min="5" max="5" width="21.42578125" bestFit="1" customWidth="1"/>
    <col min="6" max="6" width="13.140625" bestFit="1" customWidth="1"/>
    <col min="7" max="7" width="20.140625" bestFit="1" customWidth="1"/>
    <col min="8" max="8" width="14.7109375" bestFit="1" customWidth="1"/>
    <col min="9" max="10" width="12.140625" bestFit="1" customWidth="1"/>
    <col min="11" max="11" width="16.85546875" bestFit="1" customWidth="1"/>
  </cols>
  <sheetData>
    <row r="3" spans="2:11">
      <c r="B3" t="s">
        <v>272</v>
      </c>
      <c r="C3" t="s">
        <v>273</v>
      </c>
      <c r="D3" t="s">
        <v>274</v>
      </c>
      <c r="E3" t="s">
        <v>293</v>
      </c>
      <c r="F3" t="s">
        <v>275</v>
      </c>
      <c r="G3" t="s">
        <v>276</v>
      </c>
      <c r="H3" t="s">
        <v>277</v>
      </c>
      <c r="I3" t="s">
        <v>100</v>
      </c>
      <c r="J3" t="s">
        <v>292</v>
      </c>
      <c r="K3" t="s">
        <v>278</v>
      </c>
    </row>
    <row r="4" spans="2:11">
      <c r="B4" s="3" t="s">
        <v>279</v>
      </c>
      <c r="C4" s="3" t="s">
        <v>280</v>
      </c>
      <c r="D4" s="111">
        <v>5145.6000000000004</v>
      </c>
      <c r="E4" s="3">
        <v>119.6</v>
      </c>
      <c r="F4" s="111">
        <v>24567.01</v>
      </c>
      <c r="G4" s="111">
        <v>3335.93</v>
      </c>
      <c r="H4" s="109">
        <v>148644.15</v>
      </c>
      <c r="I4" s="109">
        <v>29569.94</v>
      </c>
      <c r="J4" s="109">
        <v>24729.7</v>
      </c>
      <c r="K4" s="112">
        <v>0.14799999999999999</v>
      </c>
    </row>
    <row r="5" spans="2:11">
      <c r="D5" s="109"/>
      <c r="H5" s="109"/>
      <c r="I5" s="109"/>
      <c r="J5" s="109"/>
      <c r="K5" s="110"/>
    </row>
    <row r="6" spans="2:11">
      <c r="B6" t="s">
        <v>281</v>
      </c>
      <c r="C6" t="s">
        <v>282</v>
      </c>
      <c r="D6" s="109">
        <v>860.55</v>
      </c>
      <c r="E6" s="114">
        <v>1006.3</v>
      </c>
      <c r="F6" s="109">
        <v>100496.74</v>
      </c>
      <c r="G6" s="109">
        <v>9068.66</v>
      </c>
      <c r="H6" s="109">
        <v>272090.33</v>
      </c>
      <c r="I6" s="109">
        <v>75899.23</v>
      </c>
      <c r="J6" s="109">
        <v>51503.519999999997</v>
      </c>
      <c r="K6" s="110">
        <v>0.253</v>
      </c>
    </row>
    <row r="7" spans="2:11">
      <c r="B7" t="s">
        <v>283</v>
      </c>
      <c r="C7">
        <v>500420</v>
      </c>
      <c r="D7" s="109">
        <v>4213.95</v>
      </c>
      <c r="E7">
        <v>338.5</v>
      </c>
      <c r="F7" s="109">
        <v>29431.18</v>
      </c>
      <c r="G7" s="109">
        <v>6290.15</v>
      </c>
      <c r="H7" s="109">
        <v>132889.71</v>
      </c>
      <c r="I7" s="109">
        <v>42788.13</v>
      </c>
      <c r="J7" s="109">
        <v>23697.73</v>
      </c>
      <c r="K7" s="110">
        <v>0.245</v>
      </c>
    </row>
    <row r="8" spans="2:11">
      <c r="B8" t="s">
        <v>284</v>
      </c>
      <c r="C8">
        <v>500124</v>
      </c>
      <c r="D8" s="109">
        <v>1252.55</v>
      </c>
      <c r="E8">
        <v>832.9</v>
      </c>
      <c r="F8" s="109">
        <v>70639.009999999995</v>
      </c>
      <c r="G8" s="109">
        <v>19457.740000000002</v>
      </c>
      <c r="H8" s="109">
        <v>360673.8</v>
      </c>
      <c r="I8" s="109">
        <v>88424.95</v>
      </c>
      <c r="J8" s="109">
        <v>59015.67</v>
      </c>
      <c r="K8" s="110">
        <v>0.23</v>
      </c>
    </row>
    <row r="9" spans="2:11">
      <c r="B9" t="s">
        <v>285</v>
      </c>
      <c r="C9" t="s">
        <v>286</v>
      </c>
      <c r="D9" s="109">
        <v>1279.3</v>
      </c>
      <c r="E9">
        <v>580.79999999999995</v>
      </c>
      <c r="F9" s="109">
        <v>81290.34</v>
      </c>
      <c r="G9" s="109">
        <v>61082.41</v>
      </c>
      <c r="H9" s="109">
        <v>346060</v>
      </c>
      <c r="I9" s="109">
        <v>69727.679999999993</v>
      </c>
      <c r="J9" s="109">
        <v>36366.18</v>
      </c>
      <c r="K9" s="110">
        <v>0.32400000000000001</v>
      </c>
    </row>
    <row r="10" spans="2:11">
      <c r="B10" t="s">
        <v>287</v>
      </c>
      <c r="C10" t="s">
        <v>288</v>
      </c>
      <c r="D10" s="109">
        <v>2081</v>
      </c>
      <c r="E10">
        <v>282.3</v>
      </c>
      <c r="F10" s="109">
        <v>12767.18</v>
      </c>
      <c r="G10" s="109">
        <v>18379.810000000001</v>
      </c>
      <c r="H10" s="109">
        <v>172182.69</v>
      </c>
      <c r="I10" s="109">
        <v>42027.44</v>
      </c>
      <c r="J10" s="109">
        <v>11108</v>
      </c>
      <c r="K10" s="110">
        <v>0.33600000000000002</v>
      </c>
    </row>
    <row r="11" spans="2:11">
      <c r="B11" t="s">
        <v>289</v>
      </c>
      <c r="C11">
        <v>500257</v>
      </c>
      <c r="D11" s="109">
        <v>2297.1999999999998</v>
      </c>
      <c r="E11">
        <v>458.2</v>
      </c>
      <c r="F11" s="109">
        <v>64838.29</v>
      </c>
      <c r="G11" s="109">
        <v>16931.79</v>
      </c>
      <c r="H11" s="109">
        <v>272728.59000000003</v>
      </c>
      <c r="I11" s="109">
        <v>71507.179999999993</v>
      </c>
      <c r="J11" s="109">
        <v>48444.02</v>
      </c>
      <c r="K11" s="110">
        <v>0.20100000000000001</v>
      </c>
    </row>
    <row r="12" spans="2:11">
      <c r="B12" t="s">
        <v>290</v>
      </c>
      <c r="C12" t="s">
        <v>291</v>
      </c>
      <c r="D12" s="109">
        <v>1922.45</v>
      </c>
      <c r="E12">
        <v>412.8</v>
      </c>
      <c r="F12" s="109">
        <v>87278.26</v>
      </c>
      <c r="G12" s="109">
        <v>4468.08</v>
      </c>
      <c r="H12" s="109">
        <v>145112.62</v>
      </c>
      <c r="I12" s="109">
        <v>33718.33</v>
      </c>
      <c r="J12" s="109">
        <v>18557.18</v>
      </c>
      <c r="K12" s="110">
        <v>0.17399999999999999</v>
      </c>
    </row>
    <row r="13" spans="2:11">
      <c r="K13" s="1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A0E79-DA32-4A86-AF12-DB1E3EB3F30B}">
  <dimension ref="A1:J527"/>
  <sheetViews>
    <sheetView showGridLines="0" workbookViewId="0">
      <selection sqref="A1:J2"/>
    </sheetView>
  </sheetViews>
  <sheetFormatPr defaultRowHeight="15"/>
  <cols>
    <col min="1" max="3" width="1.28515625" customWidth="1"/>
    <col min="4" max="4" width="11.5703125" bestFit="1" customWidth="1"/>
    <col min="5" max="5" width="14.42578125" bestFit="1" customWidth="1"/>
  </cols>
  <sheetData>
    <row r="1" spans="1:10" ht="35.25">
      <c r="A1" s="45" t="str">
        <f>Sheet1!B1</f>
        <v>Alkem Laboratories Ltd</v>
      </c>
      <c r="B1" s="46"/>
      <c r="C1" s="46"/>
      <c r="D1" s="46"/>
      <c r="E1" s="46"/>
      <c r="F1" s="46"/>
      <c r="G1" s="40"/>
      <c r="H1" s="40"/>
      <c r="I1" s="40"/>
      <c r="J1" s="40"/>
    </row>
    <row r="2" spans="1:10" ht="18.75">
      <c r="A2" s="86" t="s">
        <v>303</v>
      </c>
      <c r="B2" s="48"/>
      <c r="C2" s="47"/>
      <c r="D2" s="47"/>
      <c r="E2" s="47"/>
      <c r="F2" s="47"/>
      <c r="G2" s="40"/>
      <c r="H2" s="40"/>
      <c r="I2" s="40"/>
      <c r="J2" s="40"/>
    </row>
    <row r="4" spans="1:10">
      <c r="D4" s="121"/>
      <c r="E4" s="121" t="s">
        <v>304</v>
      </c>
    </row>
    <row r="5" spans="1:10" ht="16.5">
      <c r="D5" s="119" t="s">
        <v>305</v>
      </c>
      <c r="E5" s="119" t="s">
        <v>306</v>
      </c>
      <c r="G5" s="8" t="s">
        <v>304</v>
      </c>
      <c r="H5" s="8" t="s">
        <v>309</v>
      </c>
    </row>
    <row r="6" spans="1:10" ht="16.5">
      <c r="D6" s="127">
        <v>46103</v>
      </c>
      <c r="E6" s="11">
        <v>22701.599999999999</v>
      </c>
      <c r="G6" s="8" t="s">
        <v>307</v>
      </c>
      <c r="H6" s="125">
        <f>YEARFRAC(D6,D527)</f>
        <v>9.9861111111111107</v>
      </c>
    </row>
    <row r="7" spans="1:10" ht="16.5">
      <c r="D7" s="127">
        <v>46096</v>
      </c>
      <c r="E7" s="11">
        <v>23114.5</v>
      </c>
      <c r="G7" s="8" t="s">
        <v>308</v>
      </c>
      <c r="H7" s="126">
        <f>_xlfn.RRI(H6,E527,E6)</f>
        <v>0.11416173257322959</v>
      </c>
    </row>
    <row r="8" spans="1:10" ht="16.5">
      <c r="D8" s="127">
        <v>46089</v>
      </c>
      <c r="E8" s="11">
        <v>23151.1</v>
      </c>
    </row>
    <row r="9" spans="1:10" ht="16.5">
      <c r="D9" s="127">
        <v>46082</v>
      </c>
      <c r="E9" s="11">
        <v>24450.45</v>
      </c>
    </row>
    <row r="10" spans="1:10" ht="16.5">
      <c r="D10" s="127">
        <v>46075</v>
      </c>
      <c r="E10" s="11">
        <v>25178.65</v>
      </c>
    </row>
    <row r="11" spans="1:10" ht="16.5">
      <c r="D11" s="127">
        <v>46068</v>
      </c>
      <c r="E11" s="11">
        <v>25571.25</v>
      </c>
    </row>
    <row r="12" spans="1:10" ht="16.5">
      <c r="D12" s="127">
        <v>46061</v>
      </c>
      <c r="E12" s="11">
        <v>25471.1</v>
      </c>
    </row>
    <row r="13" spans="1:10" ht="16.5">
      <c r="D13" s="127">
        <v>46054</v>
      </c>
      <c r="E13" s="11">
        <v>25693.7</v>
      </c>
    </row>
    <row r="14" spans="1:10" ht="16.5">
      <c r="D14" s="127">
        <v>46047</v>
      </c>
      <c r="E14" s="11">
        <v>25320.65</v>
      </c>
    </row>
    <row r="15" spans="1:10" ht="16.5">
      <c r="D15" s="127">
        <v>46040</v>
      </c>
      <c r="E15" s="11">
        <v>25048.65</v>
      </c>
    </row>
    <row r="16" spans="1:10" ht="16.5">
      <c r="D16" s="127">
        <v>46033</v>
      </c>
      <c r="E16" s="11">
        <v>25694.35</v>
      </c>
    </row>
    <row r="17" spans="4:5" ht="16.5">
      <c r="D17" s="127">
        <v>46026</v>
      </c>
      <c r="E17" s="11">
        <v>25683.3</v>
      </c>
    </row>
    <row r="18" spans="4:5" ht="16.5">
      <c r="D18" s="127">
        <v>46019</v>
      </c>
      <c r="E18" s="11">
        <v>26328.55</v>
      </c>
    </row>
    <row r="19" spans="4:5" ht="16.5">
      <c r="D19" s="127">
        <v>46012</v>
      </c>
      <c r="E19" s="11">
        <v>26042.3</v>
      </c>
    </row>
    <row r="20" spans="4:5" ht="16.5">
      <c r="D20" s="127">
        <v>46005</v>
      </c>
      <c r="E20" s="11">
        <v>25966.400000000001</v>
      </c>
    </row>
    <row r="21" spans="4:5" ht="16.5">
      <c r="D21" s="127">
        <v>45998</v>
      </c>
      <c r="E21" s="11">
        <v>26046.95</v>
      </c>
    </row>
    <row r="22" spans="4:5" ht="16.5">
      <c r="D22" s="127">
        <v>45991</v>
      </c>
      <c r="E22" s="11">
        <v>26186.45</v>
      </c>
    </row>
    <row r="23" spans="4:5" ht="16.5">
      <c r="D23" s="127">
        <v>45984</v>
      </c>
      <c r="E23" s="11">
        <v>26202.95</v>
      </c>
    </row>
    <row r="24" spans="4:5" ht="16.5">
      <c r="D24" s="127">
        <v>45977</v>
      </c>
      <c r="E24" s="11">
        <v>26068.15</v>
      </c>
    </row>
    <row r="25" spans="4:5" ht="16.5">
      <c r="D25" s="127">
        <v>45970</v>
      </c>
      <c r="E25" s="11">
        <v>25910.05</v>
      </c>
    </row>
    <row r="26" spans="4:5" ht="16.5">
      <c r="D26" s="127">
        <v>45963</v>
      </c>
      <c r="E26" s="11">
        <v>25492.3</v>
      </c>
    </row>
    <row r="27" spans="4:5" ht="16.5">
      <c r="D27" s="127">
        <v>45956</v>
      </c>
      <c r="E27" s="11">
        <v>25722.1</v>
      </c>
    </row>
    <row r="28" spans="4:5" ht="16.5">
      <c r="D28" s="127">
        <v>45949</v>
      </c>
      <c r="E28" s="11">
        <v>25795.15</v>
      </c>
    </row>
    <row r="29" spans="4:5" ht="16.5">
      <c r="D29" s="127">
        <v>45942</v>
      </c>
      <c r="E29" s="11">
        <v>25709.85</v>
      </c>
    </row>
    <row r="30" spans="4:5" ht="16.5">
      <c r="D30" s="127">
        <v>45935</v>
      </c>
      <c r="E30" s="11">
        <v>25285.35</v>
      </c>
    </row>
    <row r="31" spans="4:5" ht="16.5">
      <c r="D31" s="127">
        <v>45928</v>
      </c>
      <c r="E31" s="11">
        <v>24894.25</v>
      </c>
    </row>
    <row r="32" spans="4:5" ht="16.5">
      <c r="D32" s="127">
        <v>45921</v>
      </c>
      <c r="E32" s="11">
        <v>24654.7</v>
      </c>
    </row>
    <row r="33" spans="4:5" ht="16.5">
      <c r="D33" s="127">
        <v>45914</v>
      </c>
      <c r="E33" s="11">
        <v>25327.05</v>
      </c>
    </row>
    <row r="34" spans="4:5" ht="16.5">
      <c r="D34" s="127">
        <v>45907</v>
      </c>
      <c r="E34" s="11">
        <v>25114</v>
      </c>
    </row>
    <row r="35" spans="4:5" ht="16.5">
      <c r="D35" s="127">
        <v>45900</v>
      </c>
      <c r="E35" s="11">
        <v>24741</v>
      </c>
    </row>
    <row r="36" spans="4:5" ht="16.5">
      <c r="D36" s="127">
        <v>45893</v>
      </c>
      <c r="E36" s="11">
        <v>24426.85</v>
      </c>
    </row>
    <row r="37" spans="4:5" ht="16.5">
      <c r="D37" s="127">
        <v>45886</v>
      </c>
      <c r="E37" s="11">
        <v>24870.1</v>
      </c>
    </row>
    <row r="38" spans="4:5" ht="16.5">
      <c r="D38" s="127">
        <v>45879</v>
      </c>
      <c r="E38" s="11">
        <v>24631.3</v>
      </c>
    </row>
    <row r="39" spans="4:5" ht="16.5">
      <c r="D39" s="127">
        <v>45872</v>
      </c>
      <c r="E39" s="11">
        <v>24363.3</v>
      </c>
    </row>
    <row r="40" spans="4:5" ht="16.5">
      <c r="D40" s="127">
        <v>45865</v>
      </c>
      <c r="E40" s="11">
        <v>24565.35</v>
      </c>
    </row>
    <row r="41" spans="4:5" ht="16.5">
      <c r="D41" s="127">
        <v>45858</v>
      </c>
      <c r="E41" s="11">
        <v>24837</v>
      </c>
    </row>
    <row r="42" spans="4:5" ht="16.5">
      <c r="D42" s="127">
        <v>45851</v>
      </c>
      <c r="E42" s="11">
        <v>24968.400000000001</v>
      </c>
    </row>
    <row r="43" spans="4:5" ht="16.5">
      <c r="D43" s="127">
        <v>45844</v>
      </c>
      <c r="E43" s="11">
        <v>25149.85</v>
      </c>
    </row>
    <row r="44" spans="4:5" ht="16.5">
      <c r="D44" s="127">
        <v>45837</v>
      </c>
      <c r="E44" s="11">
        <v>25461</v>
      </c>
    </row>
    <row r="45" spans="4:5" ht="16.5">
      <c r="D45" s="127">
        <v>45830</v>
      </c>
      <c r="E45" s="11">
        <v>25637.8</v>
      </c>
    </row>
    <row r="46" spans="4:5" ht="16.5">
      <c r="D46" s="127">
        <v>45823</v>
      </c>
      <c r="E46" s="11">
        <v>25112.400000000001</v>
      </c>
    </row>
    <row r="47" spans="4:5" ht="16.5">
      <c r="D47" s="127">
        <v>45816</v>
      </c>
      <c r="E47" s="11">
        <v>24718.6</v>
      </c>
    </row>
    <row r="48" spans="4:5" ht="16.5">
      <c r="D48" s="127">
        <v>45809</v>
      </c>
      <c r="E48" s="11">
        <v>25003.05</v>
      </c>
    </row>
    <row r="49" spans="4:5" ht="16.5">
      <c r="D49" s="127">
        <v>45802</v>
      </c>
      <c r="E49" s="11">
        <v>24750.7</v>
      </c>
    </row>
    <row r="50" spans="4:5" ht="16.5">
      <c r="D50" s="127">
        <v>45795</v>
      </c>
      <c r="E50" s="11">
        <v>24853.15</v>
      </c>
    </row>
    <row r="51" spans="4:5" ht="16.5">
      <c r="D51" s="127">
        <v>45788</v>
      </c>
      <c r="E51" s="11">
        <v>25019.8</v>
      </c>
    </row>
    <row r="52" spans="4:5" ht="16.5">
      <c r="D52" s="127">
        <v>45781</v>
      </c>
      <c r="E52" s="11">
        <v>24008</v>
      </c>
    </row>
    <row r="53" spans="4:5" ht="16.5">
      <c r="D53" s="127">
        <v>45774</v>
      </c>
      <c r="E53" s="11">
        <v>24346.7</v>
      </c>
    </row>
    <row r="54" spans="4:5" ht="16.5">
      <c r="D54" s="127">
        <v>45767</v>
      </c>
      <c r="E54" s="11">
        <v>24039.35</v>
      </c>
    </row>
    <row r="55" spans="4:5" ht="16.5">
      <c r="D55" s="127">
        <v>45760</v>
      </c>
      <c r="E55" s="11">
        <v>23851.65</v>
      </c>
    </row>
    <row r="56" spans="4:5" ht="16.5">
      <c r="D56" s="127">
        <v>45753</v>
      </c>
      <c r="E56" s="11">
        <v>22828.55</v>
      </c>
    </row>
    <row r="57" spans="4:5" ht="16.5">
      <c r="D57" s="127">
        <v>45746</v>
      </c>
      <c r="E57" s="11">
        <v>22904.45</v>
      </c>
    </row>
    <row r="58" spans="4:5" ht="16.5">
      <c r="D58" s="127">
        <v>45739</v>
      </c>
      <c r="E58" s="11">
        <v>23519.35</v>
      </c>
    </row>
    <row r="59" spans="4:5" ht="16.5">
      <c r="D59" s="127">
        <v>45732</v>
      </c>
      <c r="E59" s="11">
        <v>23350.400000000001</v>
      </c>
    </row>
    <row r="60" spans="4:5" ht="16.5">
      <c r="D60" s="127">
        <v>45725</v>
      </c>
      <c r="E60" s="11">
        <v>22397.200000000001</v>
      </c>
    </row>
    <row r="61" spans="4:5" ht="16.5">
      <c r="D61" s="127">
        <v>45718</v>
      </c>
      <c r="E61" s="11">
        <v>22552.5</v>
      </c>
    </row>
    <row r="62" spans="4:5" ht="16.5">
      <c r="D62" s="127">
        <v>45711</v>
      </c>
      <c r="E62" s="11">
        <v>22124.7</v>
      </c>
    </row>
    <row r="63" spans="4:5" ht="16.5">
      <c r="D63" s="127">
        <v>45704</v>
      </c>
      <c r="E63" s="11">
        <v>22795.9</v>
      </c>
    </row>
    <row r="64" spans="4:5" ht="16.5">
      <c r="D64" s="127">
        <v>45697</v>
      </c>
      <c r="E64" s="11">
        <v>22929.25</v>
      </c>
    </row>
    <row r="65" spans="4:5" ht="16.5">
      <c r="D65" s="127">
        <v>45690</v>
      </c>
      <c r="E65" s="11">
        <v>23559.95</v>
      </c>
    </row>
    <row r="66" spans="4:5" ht="16.5">
      <c r="D66" s="127">
        <v>45683</v>
      </c>
      <c r="E66" s="11">
        <v>23508.400000000001</v>
      </c>
    </row>
    <row r="67" spans="4:5" ht="16.5">
      <c r="D67" s="127">
        <v>45676</v>
      </c>
      <c r="E67" s="11">
        <v>23092.2</v>
      </c>
    </row>
    <row r="68" spans="4:5" ht="16.5">
      <c r="D68" s="127">
        <v>45669</v>
      </c>
      <c r="E68" s="11">
        <v>23203.200000000001</v>
      </c>
    </row>
    <row r="69" spans="4:5" ht="16.5">
      <c r="D69" s="127">
        <v>45662</v>
      </c>
      <c r="E69" s="11">
        <v>23431.5</v>
      </c>
    </row>
    <row r="70" spans="4:5" ht="16.5">
      <c r="D70" s="127">
        <v>45655</v>
      </c>
      <c r="E70" s="11">
        <v>24004.75</v>
      </c>
    </row>
    <row r="71" spans="4:5" ht="16.5">
      <c r="D71" s="127">
        <v>45648</v>
      </c>
      <c r="E71" s="11">
        <v>23813.4</v>
      </c>
    </row>
    <row r="72" spans="4:5" ht="16.5">
      <c r="D72" s="127">
        <v>45641</v>
      </c>
      <c r="E72" s="11">
        <v>23587.5</v>
      </c>
    </row>
    <row r="73" spans="4:5" ht="16.5">
      <c r="D73" s="127">
        <v>45634</v>
      </c>
      <c r="E73" s="11">
        <v>24768.3</v>
      </c>
    </row>
    <row r="74" spans="4:5" ht="16.5">
      <c r="D74" s="127">
        <v>45627</v>
      </c>
      <c r="E74" s="11">
        <v>24677.8</v>
      </c>
    </row>
    <row r="75" spans="4:5" ht="16.5">
      <c r="D75" s="127">
        <v>45620</v>
      </c>
      <c r="E75" s="11">
        <v>24131.1</v>
      </c>
    </row>
    <row r="76" spans="4:5" ht="16.5">
      <c r="D76" s="127">
        <v>45613</v>
      </c>
      <c r="E76" s="11">
        <v>23907.25</v>
      </c>
    </row>
    <row r="77" spans="4:5" ht="16.5">
      <c r="D77" s="127">
        <v>45606</v>
      </c>
      <c r="E77" s="11">
        <v>23532.7</v>
      </c>
    </row>
    <row r="78" spans="4:5" ht="16.5">
      <c r="D78" s="127">
        <v>45599</v>
      </c>
      <c r="E78" s="11">
        <v>24148.2</v>
      </c>
    </row>
    <row r="79" spans="4:5" ht="16.5">
      <c r="D79" s="127">
        <v>45592</v>
      </c>
      <c r="E79" s="11">
        <v>24304.35</v>
      </c>
    </row>
    <row r="80" spans="4:5" ht="16.5">
      <c r="D80" s="127">
        <v>45585</v>
      </c>
      <c r="E80" s="11">
        <v>24180.799999999999</v>
      </c>
    </row>
    <row r="81" spans="4:5" ht="16.5">
      <c r="D81" s="127">
        <v>45578</v>
      </c>
      <c r="E81" s="11">
        <v>24854.05</v>
      </c>
    </row>
    <row r="82" spans="4:5" ht="16.5">
      <c r="D82" s="127">
        <v>45571</v>
      </c>
      <c r="E82" s="11">
        <v>24964.25</v>
      </c>
    </row>
    <row r="83" spans="4:5" ht="16.5">
      <c r="D83" s="127">
        <v>45564</v>
      </c>
      <c r="E83" s="11">
        <v>25014.6</v>
      </c>
    </row>
    <row r="84" spans="4:5" ht="16.5">
      <c r="D84" s="127">
        <v>45557</v>
      </c>
      <c r="E84" s="11">
        <v>26178.95</v>
      </c>
    </row>
    <row r="85" spans="4:5" ht="16.5">
      <c r="D85" s="127">
        <v>45550</v>
      </c>
      <c r="E85" s="11">
        <v>25790.95</v>
      </c>
    </row>
    <row r="86" spans="4:5" ht="16.5">
      <c r="D86" s="127">
        <v>45543</v>
      </c>
      <c r="E86" s="11">
        <v>25356.5</v>
      </c>
    </row>
    <row r="87" spans="4:5" ht="16.5">
      <c r="D87" s="127">
        <v>45536</v>
      </c>
      <c r="E87" s="11">
        <v>24852.15</v>
      </c>
    </row>
    <row r="88" spans="4:5" ht="16.5">
      <c r="D88" s="127">
        <v>45529</v>
      </c>
      <c r="E88" s="11">
        <v>25235.9</v>
      </c>
    </row>
    <row r="89" spans="4:5" ht="16.5">
      <c r="D89" s="127">
        <v>45522</v>
      </c>
      <c r="E89" s="11">
        <v>24823.15</v>
      </c>
    </row>
    <row r="90" spans="4:5" ht="16.5">
      <c r="D90" s="127">
        <v>45515</v>
      </c>
      <c r="E90" s="11">
        <v>24541.15</v>
      </c>
    </row>
    <row r="91" spans="4:5" ht="16.5">
      <c r="D91" s="127">
        <v>45508</v>
      </c>
      <c r="E91" s="11">
        <v>24367.5</v>
      </c>
    </row>
    <row r="92" spans="4:5" ht="16.5">
      <c r="D92" s="127">
        <v>45501</v>
      </c>
      <c r="E92" s="11">
        <v>24717.7</v>
      </c>
    </row>
    <row r="93" spans="4:5" ht="16.5">
      <c r="D93" s="127">
        <v>45494</v>
      </c>
      <c r="E93" s="11">
        <v>24834.85</v>
      </c>
    </row>
    <row r="94" spans="4:5" ht="16.5">
      <c r="D94" s="127">
        <v>45487</v>
      </c>
      <c r="E94" s="11">
        <v>24530.9</v>
      </c>
    </row>
    <row r="95" spans="4:5" ht="16.5">
      <c r="D95" s="127">
        <v>45480</v>
      </c>
      <c r="E95" s="11">
        <v>24502.15</v>
      </c>
    </row>
    <row r="96" spans="4:5" ht="16.5">
      <c r="D96" s="127">
        <v>45473</v>
      </c>
      <c r="E96" s="11">
        <v>24323.85</v>
      </c>
    </row>
    <row r="97" spans="4:5" ht="16.5">
      <c r="D97" s="127">
        <v>45466</v>
      </c>
      <c r="E97" s="11">
        <v>24010.6</v>
      </c>
    </row>
    <row r="98" spans="4:5" ht="16.5">
      <c r="D98" s="127">
        <v>45459</v>
      </c>
      <c r="E98" s="11">
        <v>23501.1</v>
      </c>
    </row>
    <row r="99" spans="4:5" ht="16.5">
      <c r="D99" s="127">
        <v>45452</v>
      </c>
      <c r="E99" s="11">
        <v>23465.599999999999</v>
      </c>
    </row>
    <row r="100" spans="4:5" ht="16.5">
      <c r="D100" s="127">
        <v>45445</v>
      </c>
      <c r="E100" s="11">
        <v>23290.15</v>
      </c>
    </row>
    <row r="101" spans="4:5" ht="16.5">
      <c r="D101" s="127">
        <v>45438</v>
      </c>
      <c r="E101" s="11">
        <v>22530.7</v>
      </c>
    </row>
    <row r="102" spans="4:5" ht="16.5">
      <c r="D102" s="127">
        <v>45431</v>
      </c>
      <c r="E102" s="11">
        <v>22957.1</v>
      </c>
    </row>
    <row r="103" spans="4:5" ht="16.5">
      <c r="D103" s="127">
        <v>45424</v>
      </c>
      <c r="E103" s="11">
        <v>22466.1</v>
      </c>
    </row>
    <row r="104" spans="4:5" ht="16.5">
      <c r="D104" s="127">
        <v>45417</v>
      </c>
      <c r="E104" s="11">
        <v>22055.200000000001</v>
      </c>
    </row>
    <row r="105" spans="4:5" ht="16.5">
      <c r="D105" s="127">
        <v>45410</v>
      </c>
      <c r="E105" s="11">
        <v>22475.85</v>
      </c>
    </row>
    <row r="106" spans="4:5" ht="16.5">
      <c r="D106" s="127">
        <v>45403</v>
      </c>
      <c r="E106" s="11">
        <v>22419.95</v>
      </c>
    </row>
    <row r="107" spans="4:5" ht="16.5">
      <c r="D107" s="127">
        <v>45396</v>
      </c>
      <c r="E107" s="11">
        <v>22147</v>
      </c>
    </row>
    <row r="108" spans="4:5" ht="16.5">
      <c r="D108" s="127">
        <v>45389</v>
      </c>
      <c r="E108" s="11">
        <v>22519.4</v>
      </c>
    </row>
    <row r="109" spans="4:5" ht="16.5">
      <c r="D109" s="127">
        <v>45382</v>
      </c>
      <c r="E109" s="11">
        <v>22513.7</v>
      </c>
    </row>
    <row r="110" spans="4:5" ht="16.5">
      <c r="D110" s="127">
        <v>45375</v>
      </c>
      <c r="E110" s="11">
        <v>22326.9</v>
      </c>
    </row>
    <row r="111" spans="4:5" ht="16.5">
      <c r="D111" s="127">
        <v>45368</v>
      </c>
      <c r="E111" s="11">
        <v>22096.75</v>
      </c>
    </row>
    <row r="112" spans="4:5" ht="16.5">
      <c r="D112" s="127">
        <v>45361</v>
      </c>
      <c r="E112" s="11">
        <v>22023.35</v>
      </c>
    </row>
    <row r="113" spans="4:5" ht="16.5">
      <c r="D113" s="127">
        <v>45354</v>
      </c>
      <c r="E113" s="11">
        <v>22493.55</v>
      </c>
    </row>
    <row r="114" spans="4:5" ht="16.5">
      <c r="D114" s="127">
        <v>45347</v>
      </c>
      <c r="E114" s="11">
        <v>22338.75</v>
      </c>
    </row>
    <row r="115" spans="4:5" ht="16.5">
      <c r="D115" s="127">
        <v>45340</v>
      </c>
      <c r="E115" s="11">
        <v>22212.7</v>
      </c>
    </row>
    <row r="116" spans="4:5" ht="16.5">
      <c r="D116" s="127">
        <v>45333</v>
      </c>
      <c r="E116" s="11">
        <v>22040.7</v>
      </c>
    </row>
    <row r="117" spans="4:5" ht="16.5">
      <c r="D117" s="127">
        <v>45326</v>
      </c>
      <c r="E117" s="11">
        <v>21782.5</v>
      </c>
    </row>
    <row r="118" spans="4:5" ht="16.5">
      <c r="D118" s="127">
        <v>45319</v>
      </c>
      <c r="E118" s="11">
        <v>21853.8</v>
      </c>
    </row>
    <row r="119" spans="4:5" ht="16.5">
      <c r="D119" s="127">
        <v>45312</v>
      </c>
      <c r="E119" s="11">
        <v>21352.6</v>
      </c>
    </row>
    <row r="120" spans="4:5" ht="16.5">
      <c r="D120" s="127">
        <v>45305</v>
      </c>
      <c r="E120" s="11">
        <v>21622.400000000001</v>
      </c>
    </row>
    <row r="121" spans="4:5" ht="16.5">
      <c r="D121" s="127">
        <v>45298</v>
      </c>
      <c r="E121" s="11">
        <v>21894.55</v>
      </c>
    </row>
    <row r="122" spans="4:5" ht="16.5">
      <c r="D122" s="127">
        <v>45291</v>
      </c>
      <c r="E122" s="11">
        <v>21710.799999999999</v>
      </c>
    </row>
    <row r="123" spans="4:5" ht="16.5">
      <c r="D123" s="127">
        <v>45284</v>
      </c>
      <c r="E123" s="11">
        <v>21731.4</v>
      </c>
    </row>
    <row r="124" spans="4:5" ht="16.5">
      <c r="D124" s="127">
        <v>45277</v>
      </c>
      <c r="E124" s="11">
        <v>21349.4</v>
      </c>
    </row>
    <row r="125" spans="4:5" ht="16.5">
      <c r="D125" s="127">
        <v>45270</v>
      </c>
      <c r="E125" s="11">
        <v>21456.65</v>
      </c>
    </row>
    <row r="126" spans="4:5" ht="16.5">
      <c r="D126" s="127">
        <v>45263</v>
      </c>
      <c r="E126" s="11">
        <v>20969.400000000001</v>
      </c>
    </row>
    <row r="127" spans="4:5" ht="16.5">
      <c r="D127" s="127">
        <v>45256</v>
      </c>
      <c r="E127" s="11">
        <v>20267.900000000001</v>
      </c>
    </row>
    <row r="128" spans="4:5" ht="16.5">
      <c r="D128" s="127">
        <v>45249</v>
      </c>
      <c r="E128" s="11">
        <v>19794.7</v>
      </c>
    </row>
    <row r="129" spans="4:5" ht="16.5">
      <c r="D129" s="127">
        <v>45242</v>
      </c>
      <c r="E129" s="11">
        <v>19731.8</v>
      </c>
    </row>
    <row r="130" spans="4:5" ht="16.5">
      <c r="D130" s="127">
        <v>45235</v>
      </c>
      <c r="E130" s="11">
        <v>19425.349999999999</v>
      </c>
    </row>
    <row r="131" spans="4:5" ht="16.5">
      <c r="D131" s="127">
        <v>45228</v>
      </c>
      <c r="E131" s="11">
        <v>19230.599999999999</v>
      </c>
    </row>
    <row r="132" spans="4:5" ht="16.5">
      <c r="D132" s="127">
        <v>45221</v>
      </c>
      <c r="E132" s="11">
        <v>19047.25</v>
      </c>
    </row>
    <row r="133" spans="4:5" ht="16.5">
      <c r="D133" s="127">
        <v>45214</v>
      </c>
      <c r="E133" s="11">
        <v>19542.650000000001</v>
      </c>
    </row>
    <row r="134" spans="4:5" ht="16.5">
      <c r="D134" s="127">
        <v>45207</v>
      </c>
      <c r="E134" s="11">
        <v>19751.05</v>
      </c>
    </row>
    <row r="135" spans="4:5" ht="16.5">
      <c r="D135" s="127">
        <v>45200</v>
      </c>
      <c r="E135" s="11">
        <v>19653.5</v>
      </c>
    </row>
    <row r="136" spans="4:5" ht="16.5">
      <c r="D136" s="127">
        <v>45193</v>
      </c>
      <c r="E136" s="11">
        <v>19638.3</v>
      </c>
    </row>
    <row r="137" spans="4:5" ht="16.5">
      <c r="D137" s="127">
        <v>45186</v>
      </c>
      <c r="E137" s="11">
        <v>19674.25</v>
      </c>
    </row>
    <row r="138" spans="4:5" ht="16.5">
      <c r="D138" s="127">
        <v>45179</v>
      </c>
      <c r="E138" s="11">
        <v>20192.349999999999</v>
      </c>
    </row>
    <row r="139" spans="4:5" ht="16.5">
      <c r="D139" s="127">
        <v>45172</v>
      </c>
      <c r="E139" s="11">
        <v>19819.95</v>
      </c>
    </row>
    <row r="140" spans="4:5" ht="16.5">
      <c r="D140" s="127">
        <v>45165</v>
      </c>
      <c r="E140" s="11">
        <v>19435.3</v>
      </c>
    </row>
    <row r="141" spans="4:5" ht="16.5">
      <c r="D141" s="127">
        <v>45158</v>
      </c>
      <c r="E141" s="11">
        <v>19265.8</v>
      </c>
    </row>
    <row r="142" spans="4:5" ht="16.5">
      <c r="D142" s="127">
        <v>45151</v>
      </c>
      <c r="E142" s="11">
        <v>19310.150000000001</v>
      </c>
    </row>
    <row r="143" spans="4:5" ht="16.5">
      <c r="D143" s="127">
        <v>45144</v>
      </c>
      <c r="E143" s="11">
        <v>19428.3</v>
      </c>
    </row>
    <row r="144" spans="4:5" ht="16.5">
      <c r="D144" s="127">
        <v>45137</v>
      </c>
      <c r="E144" s="11">
        <v>19517</v>
      </c>
    </row>
    <row r="145" spans="4:5" ht="16.5">
      <c r="D145" s="127">
        <v>45130</v>
      </c>
      <c r="E145" s="11">
        <v>19646.05</v>
      </c>
    </row>
    <row r="146" spans="4:5" ht="16.5">
      <c r="D146" s="127">
        <v>45123</v>
      </c>
      <c r="E146" s="11">
        <v>19745</v>
      </c>
    </row>
    <row r="147" spans="4:5" ht="16.5">
      <c r="D147" s="127">
        <v>45116</v>
      </c>
      <c r="E147" s="11">
        <v>19564.5</v>
      </c>
    </row>
    <row r="148" spans="4:5" ht="16.5">
      <c r="D148" s="127">
        <v>45109</v>
      </c>
      <c r="E148" s="11">
        <v>19331.8</v>
      </c>
    </row>
    <row r="149" spans="4:5" ht="16.5">
      <c r="D149" s="127">
        <v>45102</v>
      </c>
      <c r="E149" s="11">
        <v>19189.05</v>
      </c>
    </row>
    <row r="150" spans="4:5" ht="16.5">
      <c r="D150" s="127">
        <v>45095</v>
      </c>
      <c r="E150" s="11">
        <v>18665.5</v>
      </c>
    </row>
    <row r="151" spans="4:5" ht="16.5">
      <c r="D151" s="127">
        <v>45088</v>
      </c>
      <c r="E151" s="11">
        <v>18826</v>
      </c>
    </row>
    <row r="152" spans="4:5" ht="16.5">
      <c r="D152" s="127">
        <v>45081</v>
      </c>
      <c r="E152" s="11">
        <v>18563.400000000001</v>
      </c>
    </row>
    <row r="153" spans="4:5" ht="16.5">
      <c r="D153" s="127">
        <v>45074</v>
      </c>
      <c r="E153" s="11">
        <v>18534.099999999999</v>
      </c>
    </row>
    <row r="154" spans="4:5" ht="16.5">
      <c r="D154" s="127">
        <v>45067</v>
      </c>
      <c r="E154" s="11">
        <v>18499.349999999999</v>
      </c>
    </row>
    <row r="155" spans="4:5" ht="16.5">
      <c r="D155" s="127">
        <v>45060</v>
      </c>
      <c r="E155" s="11">
        <v>18203.400000000001</v>
      </c>
    </row>
    <row r="156" spans="4:5" ht="16.5">
      <c r="D156" s="127">
        <v>45053</v>
      </c>
      <c r="E156" s="11">
        <v>18314.8</v>
      </c>
    </row>
    <row r="157" spans="4:5" ht="16.5">
      <c r="D157" s="127">
        <v>45046</v>
      </c>
      <c r="E157" s="11">
        <v>18069</v>
      </c>
    </row>
    <row r="158" spans="4:5" ht="16.5">
      <c r="D158" s="127">
        <v>45039</v>
      </c>
      <c r="E158" s="11">
        <v>18065</v>
      </c>
    </row>
    <row r="159" spans="4:5" ht="16.5">
      <c r="D159" s="127">
        <v>45032</v>
      </c>
      <c r="E159" s="11">
        <v>17624.05</v>
      </c>
    </row>
    <row r="160" spans="4:5" ht="16.5">
      <c r="D160" s="127">
        <v>45025</v>
      </c>
      <c r="E160" s="11">
        <v>17828</v>
      </c>
    </row>
    <row r="161" spans="4:5" ht="16.5">
      <c r="D161" s="127">
        <v>45018</v>
      </c>
      <c r="E161" s="11">
        <v>17599.150000000001</v>
      </c>
    </row>
    <row r="162" spans="4:5" ht="16.5">
      <c r="D162" s="127">
        <v>45011</v>
      </c>
      <c r="E162" s="11">
        <v>17359.75</v>
      </c>
    </row>
    <row r="163" spans="4:5" ht="16.5">
      <c r="D163" s="127">
        <v>45004</v>
      </c>
      <c r="E163" s="11">
        <v>16945.05</v>
      </c>
    </row>
    <row r="164" spans="4:5" ht="16.5">
      <c r="D164" s="127">
        <v>44997</v>
      </c>
      <c r="E164" s="11">
        <v>17100.05</v>
      </c>
    </row>
    <row r="165" spans="4:5" ht="16.5">
      <c r="D165" s="127">
        <v>44990</v>
      </c>
      <c r="E165" s="11">
        <v>17412.900000000001</v>
      </c>
    </row>
    <row r="166" spans="4:5" ht="16.5">
      <c r="D166" s="127">
        <v>44983</v>
      </c>
      <c r="E166" s="11">
        <v>17594.349999999999</v>
      </c>
    </row>
    <row r="167" spans="4:5" ht="16.5">
      <c r="D167" s="127">
        <v>44976</v>
      </c>
      <c r="E167" s="11">
        <v>17465.8</v>
      </c>
    </row>
    <row r="168" spans="4:5" ht="16.5">
      <c r="D168" s="127">
        <v>44969</v>
      </c>
      <c r="E168" s="11">
        <v>17944.2</v>
      </c>
    </row>
    <row r="169" spans="4:5" ht="16.5">
      <c r="D169" s="127">
        <v>44962</v>
      </c>
      <c r="E169" s="11">
        <v>17856.5</v>
      </c>
    </row>
    <row r="170" spans="4:5" ht="16.5">
      <c r="D170" s="127">
        <v>44955</v>
      </c>
      <c r="E170" s="11">
        <v>17854.05</v>
      </c>
    </row>
    <row r="171" spans="4:5" ht="16.5">
      <c r="D171" s="127">
        <v>44948</v>
      </c>
      <c r="E171" s="11">
        <v>17604.349999999999</v>
      </c>
    </row>
    <row r="172" spans="4:5" ht="16.5">
      <c r="D172" s="127">
        <v>44941</v>
      </c>
      <c r="E172" s="11">
        <v>18027.650000000001</v>
      </c>
    </row>
    <row r="173" spans="4:5" ht="16.5">
      <c r="D173" s="127">
        <v>44934</v>
      </c>
      <c r="E173" s="11">
        <v>17956.599999999999</v>
      </c>
    </row>
    <row r="174" spans="4:5" ht="16.5">
      <c r="D174" s="127">
        <v>44927</v>
      </c>
      <c r="E174" s="11">
        <v>17859.45</v>
      </c>
    </row>
    <row r="175" spans="4:5" ht="16.5">
      <c r="D175" s="127">
        <v>44920</v>
      </c>
      <c r="E175" s="11">
        <v>18105.3</v>
      </c>
    </row>
    <row r="176" spans="4:5" ht="16.5">
      <c r="D176" s="127">
        <v>44913</v>
      </c>
      <c r="E176" s="11">
        <v>17806.8</v>
      </c>
    </row>
    <row r="177" spans="4:5" ht="16.5">
      <c r="D177" s="127">
        <v>44906</v>
      </c>
      <c r="E177" s="11">
        <v>18269</v>
      </c>
    </row>
    <row r="178" spans="4:5" ht="16.5">
      <c r="D178" s="127">
        <v>44899</v>
      </c>
      <c r="E178" s="11">
        <v>18496.599999999999</v>
      </c>
    </row>
    <row r="179" spans="4:5" ht="16.5">
      <c r="D179" s="127">
        <v>44892</v>
      </c>
      <c r="E179" s="11">
        <v>18696.099999999999</v>
      </c>
    </row>
    <row r="180" spans="4:5" ht="16.5">
      <c r="D180" s="127">
        <v>44885</v>
      </c>
      <c r="E180" s="11">
        <v>18512.75</v>
      </c>
    </row>
    <row r="181" spans="4:5" ht="16.5">
      <c r="D181" s="127">
        <v>44878</v>
      </c>
      <c r="E181" s="11">
        <v>18307.650000000001</v>
      </c>
    </row>
    <row r="182" spans="4:5" ht="16.5">
      <c r="D182" s="127">
        <v>44871</v>
      </c>
      <c r="E182" s="11">
        <v>18349.7</v>
      </c>
    </row>
    <row r="183" spans="4:5" ht="16.5">
      <c r="D183" s="127">
        <v>44864</v>
      </c>
      <c r="E183" s="11">
        <v>18117.150000000001</v>
      </c>
    </row>
    <row r="184" spans="4:5" ht="16.5">
      <c r="D184" s="127">
        <v>44857</v>
      </c>
      <c r="E184" s="11">
        <v>17786.8</v>
      </c>
    </row>
    <row r="185" spans="4:5" ht="16.5">
      <c r="D185" s="127">
        <v>44850</v>
      </c>
      <c r="E185" s="11">
        <v>17576.3</v>
      </c>
    </row>
    <row r="186" spans="4:5" ht="16.5">
      <c r="D186" s="127">
        <v>44843</v>
      </c>
      <c r="E186" s="11">
        <v>17185.7</v>
      </c>
    </row>
    <row r="187" spans="4:5" ht="16.5">
      <c r="D187" s="127">
        <v>44836</v>
      </c>
      <c r="E187" s="11">
        <v>17314.650000000001</v>
      </c>
    </row>
    <row r="188" spans="4:5" ht="16.5">
      <c r="D188" s="127">
        <v>44829</v>
      </c>
      <c r="E188" s="11">
        <v>17094.349999999999</v>
      </c>
    </row>
    <row r="189" spans="4:5" ht="16.5">
      <c r="D189" s="127">
        <v>44822</v>
      </c>
      <c r="E189" s="11">
        <v>17327.349999999999</v>
      </c>
    </row>
    <row r="190" spans="4:5" ht="16.5">
      <c r="D190" s="127">
        <v>44815</v>
      </c>
      <c r="E190" s="11">
        <v>17530.849999999999</v>
      </c>
    </row>
    <row r="191" spans="4:5" ht="16.5">
      <c r="D191" s="127">
        <v>44808</v>
      </c>
      <c r="E191" s="11">
        <v>17833.349999999999</v>
      </c>
    </row>
    <row r="192" spans="4:5" ht="16.5">
      <c r="D192" s="127">
        <v>44801</v>
      </c>
      <c r="E192" s="11">
        <v>17539.45</v>
      </c>
    </row>
    <row r="193" spans="4:5" ht="16.5">
      <c r="D193" s="127">
        <v>44794</v>
      </c>
      <c r="E193" s="11">
        <v>17558.900000000001</v>
      </c>
    </row>
    <row r="194" spans="4:5" ht="16.5">
      <c r="D194" s="127">
        <v>44787</v>
      </c>
      <c r="E194" s="11">
        <v>17758.45</v>
      </c>
    </row>
    <row r="195" spans="4:5" ht="16.5">
      <c r="D195" s="127">
        <v>44780</v>
      </c>
      <c r="E195" s="11">
        <v>17698.150000000001</v>
      </c>
    </row>
    <row r="196" spans="4:5" ht="16.5">
      <c r="D196" s="127">
        <v>44773</v>
      </c>
      <c r="E196" s="11">
        <v>17397.5</v>
      </c>
    </row>
    <row r="197" spans="4:5" ht="16.5">
      <c r="D197" s="127">
        <v>44766</v>
      </c>
      <c r="E197" s="11">
        <v>17158.25</v>
      </c>
    </row>
    <row r="198" spans="4:5" ht="16.5">
      <c r="D198" s="127">
        <v>44759</v>
      </c>
      <c r="E198" s="11">
        <v>16719.45</v>
      </c>
    </row>
    <row r="199" spans="4:5" ht="16.5">
      <c r="D199" s="127">
        <v>44752</v>
      </c>
      <c r="E199" s="11">
        <v>16049.2</v>
      </c>
    </row>
    <row r="200" spans="4:5" ht="16.5">
      <c r="D200" s="127">
        <v>44745</v>
      </c>
      <c r="E200" s="11">
        <v>16220.6</v>
      </c>
    </row>
    <row r="201" spans="4:5" ht="16.5">
      <c r="D201" s="127">
        <v>44738</v>
      </c>
      <c r="E201" s="11">
        <v>15752.05</v>
      </c>
    </row>
    <row r="202" spans="4:5" ht="16.5">
      <c r="D202" s="127">
        <v>44731</v>
      </c>
      <c r="E202" s="11">
        <v>15699.25</v>
      </c>
    </row>
    <row r="203" spans="4:5" ht="16.5">
      <c r="D203" s="127">
        <v>44724</v>
      </c>
      <c r="E203" s="11">
        <v>15293.5</v>
      </c>
    </row>
    <row r="204" spans="4:5" ht="16.5">
      <c r="D204" s="127">
        <v>44717</v>
      </c>
      <c r="E204" s="11">
        <v>16201.8</v>
      </c>
    </row>
    <row r="205" spans="4:5" ht="16.5">
      <c r="D205" s="127">
        <v>44710</v>
      </c>
      <c r="E205" s="11">
        <v>16584.3</v>
      </c>
    </row>
    <row r="206" spans="4:5" ht="16.5">
      <c r="D206" s="127">
        <v>44703</v>
      </c>
      <c r="E206" s="11">
        <v>16352.45</v>
      </c>
    </row>
    <row r="207" spans="4:5" ht="16.5">
      <c r="D207" s="127">
        <v>44696</v>
      </c>
      <c r="E207" s="11">
        <v>16266.15</v>
      </c>
    </row>
    <row r="208" spans="4:5" ht="16.5">
      <c r="D208" s="127">
        <v>44689</v>
      </c>
      <c r="E208" s="11">
        <v>15782.15</v>
      </c>
    </row>
    <row r="209" spans="4:5" ht="16.5">
      <c r="D209" s="127">
        <v>44682</v>
      </c>
      <c r="E209" s="11">
        <v>16411.25</v>
      </c>
    </row>
    <row r="210" spans="4:5" ht="16.5">
      <c r="D210" s="127">
        <v>44675</v>
      </c>
      <c r="E210" s="11">
        <v>17102.55</v>
      </c>
    </row>
    <row r="211" spans="4:5" ht="16.5">
      <c r="D211" s="127">
        <v>44668</v>
      </c>
      <c r="E211" s="11">
        <v>17171.95</v>
      </c>
    </row>
    <row r="212" spans="4:5" ht="16.5">
      <c r="D212" s="127">
        <v>44661</v>
      </c>
      <c r="E212" s="11">
        <v>17475.650000000001</v>
      </c>
    </row>
    <row r="213" spans="4:5" ht="16.5">
      <c r="D213" s="127">
        <v>44654</v>
      </c>
      <c r="E213" s="11">
        <v>17784.349999999999</v>
      </c>
    </row>
    <row r="214" spans="4:5" ht="16.5">
      <c r="D214" s="127">
        <v>44647</v>
      </c>
      <c r="E214" s="11">
        <v>17670.45</v>
      </c>
    </row>
    <row r="215" spans="4:5" ht="16.5">
      <c r="D215" s="127">
        <v>44640</v>
      </c>
      <c r="E215" s="11">
        <v>17153</v>
      </c>
    </row>
    <row r="216" spans="4:5" ht="16.5">
      <c r="D216" s="127">
        <v>44633</v>
      </c>
      <c r="E216" s="11">
        <v>17287.05</v>
      </c>
    </row>
    <row r="217" spans="4:5" ht="16.5">
      <c r="D217" s="127">
        <v>44626</v>
      </c>
      <c r="E217" s="11">
        <v>16630.45</v>
      </c>
    </row>
    <row r="218" spans="4:5" ht="16.5">
      <c r="D218" s="127">
        <v>44619</v>
      </c>
      <c r="E218" s="11">
        <v>16245.35</v>
      </c>
    </row>
    <row r="219" spans="4:5" ht="16.5">
      <c r="D219" s="127">
        <v>44612</v>
      </c>
      <c r="E219" s="11">
        <v>16658.400000000001</v>
      </c>
    </row>
    <row r="220" spans="4:5" ht="16.5">
      <c r="D220" s="127">
        <v>44605</v>
      </c>
      <c r="E220" s="11">
        <v>17276.3</v>
      </c>
    </row>
    <row r="221" spans="4:5" ht="16.5">
      <c r="D221" s="127">
        <v>44598</v>
      </c>
      <c r="E221" s="11">
        <v>17374.75</v>
      </c>
    </row>
    <row r="222" spans="4:5" ht="16.5">
      <c r="D222" s="127">
        <v>44591</v>
      </c>
      <c r="E222" s="11">
        <v>17516.3</v>
      </c>
    </row>
    <row r="223" spans="4:5" ht="16.5">
      <c r="D223" s="127">
        <v>44584</v>
      </c>
      <c r="E223" s="11">
        <v>17101.95</v>
      </c>
    </row>
    <row r="224" spans="4:5" ht="16.5">
      <c r="D224" s="127">
        <v>44577</v>
      </c>
      <c r="E224" s="11">
        <v>17617.150000000001</v>
      </c>
    </row>
    <row r="225" spans="4:5" ht="16.5">
      <c r="D225" s="127">
        <v>44570</v>
      </c>
      <c r="E225" s="11">
        <v>18255.75</v>
      </c>
    </row>
    <row r="226" spans="4:5" ht="16.5">
      <c r="D226" s="127">
        <v>44563</v>
      </c>
      <c r="E226" s="11">
        <v>17812.7</v>
      </c>
    </row>
    <row r="227" spans="4:5" ht="16.5">
      <c r="D227" s="127">
        <v>44556</v>
      </c>
      <c r="E227" s="11">
        <v>17354.05</v>
      </c>
    </row>
    <row r="228" spans="4:5" ht="16.5">
      <c r="D228" s="127">
        <v>44549</v>
      </c>
      <c r="E228" s="11">
        <v>17003.75</v>
      </c>
    </row>
    <row r="229" spans="4:5" ht="16.5">
      <c r="D229" s="127">
        <v>44542</v>
      </c>
      <c r="E229" s="11">
        <v>16985.2</v>
      </c>
    </row>
    <row r="230" spans="4:5" ht="16.5">
      <c r="D230" s="127">
        <v>44535</v>
      </c>
      <c r="E230" s="11">
        <v>17511.3</v>
      </c>
    </row>
    <row r="231" spans="4:5" ht="16.5">
      <c r="D231" s="127">
        <v>44528</v>
      </c>
      <c r="E231" s="11">
        <v>17196.7</v>
      </c>
    </row>
    <row r="232" spans="4:5" ht="16.5">
      <c r="D232" s="127">
        <v>44521</v>
      </c>
      <c r="E232" s="11">
        <v>17026.45</v>
      </c>
    </row>
    <row r="233" spans="4:5" ht="16.5">
      <c r="D233" s="127">
        <v>44514</v>
      </c>
      <c r="E233" s="11">
        <v>17764.8</v>
      </c>
    </row>
    <row r="234" spans="4:5" ht="16.5">
      <c r="D234" s="127">
        <v>44507</v>
      </c>
      <c r="E234" s="11">
        <v>18102.75</v>
      </c>
    </row>
    <row r="235" spans="4:5" ht="16.5">
      <c r="D235" s="127">
        <v>44500</v>
      </c>
      <c r="E235" s="11">
        <v>17916.8</v>
      </c>
    </row>
    <row r="236" spans="4:5" ht="16.5">
      <c r="D236" s="127">
        <v>44493</v>
      </c>
      <c r="E236" s="11">
        <v>17671.650000000001</v>
      </c>
    </row>
    <row r="237" spans="4:5" ht="16.5">
      <c r="D237" s="127">
        <v>44486</v>
      </c>
      <c r="E237" s="11">
        <v>18114.900000000001</v>
      </c>
    </row>
    <row r="238" spans="4:5" ht="16.5">
      <c r="D238" s="127">
        <v>44479</v>
      </c>
      <c r="E238" s="11">
        <v>18338.55</v>
      </c>
    </row>
    <row r="239" spans="4:5" ht="16.5">
      <c r="D239" s="127">
        <v>44472</v>
      </c>
      <c r="E239" s="11">
        <v>17895.2</v>
      </c>
    </row>
    <row r="240" spans="4:5" ht="16.5">
      <c r="D240" s="127">
        <v>44465</v>
      </c>
      <c r="E240" s="11">
        <v>17532.05</v>
      </c>
    </row>
    <row r="241" spans="4:5" ht="16.5">
      <c r="D241" s="127">
        <v>44458</v>
      </c>
      <c r="E241" s="11">
        <v>17853.2</v>
      </c>
    </row>
    <row r="242" spans="4:5" ht="16.5">
      <c r="D242" s="127">
        <v>44451</v>
      </c>
      <c r="E242" s="11">
        <v>17585.150000000001</v>
      </c>
    </row>
    <row r="243" spans="4:5" ht="16.5">
      <c r="D243" s="127">
        <v>44444</v>
      </c>
      <c r="E243" s="11">
        <v>17369.25</v>
      </c>
    </row>
    <row r="244" spans="4:5" ht="16.5">
      <c r="D244" s="127">
        <v>44437</v>
      </c>
      <c r="E244" s="11">
        <v>17323.599999999999</v>
      </c>
    </row>
    <row r="245" spans="4:5" ht="16.5">
      <c r="D245" s="127">
        <v>44430</v>
      </c>
      <c r="E245" s="11">
        <v>16705.2</v>
      </c>
    </row>
    <row r="246" spans="4:5" ht="16.5">
      <c r="D246" s="127">
        <v>44423</v>
      </c>
      <c r="E246" s="11">
        <v>16450.5</v>
      </c>
    </row>
    <row r="247" spans="4:5" ht="16.5">
      <c r="D247" s="127">
        <v>44416</v>
      </c>
      <c r="E247" s="11">
        <v>16529.099999999999</v>
      </c>
    </row>
    <row r="248" spans="4:5" ht="16.5">
      <c r="D248" s="127">
        <v>44409</v>
      </c>
      <c r="E248" s="11">
        <v>16238.2</v>
      </c>
    </row>
    <row r="249" spans="4:5" ht="16.5">
      <c r="D249" s="127">
        <v>44402</v>
      </c>
      <c r="E249" s="11">
        <v>15763.05</v>
      </c>
    </row>
    <row r="250" spans="4:5" ht="16.5">
      <c r="D250" s="127">
        <v>44395</v>
      </c>
      <c r="E250" s="11">
        <v>15856.05</v>
      </c>
    </row>
    <row r="251" spans="4:5" ht="16.5">
      <c r="D251" s="127">
        <v>44388</v>
      </c>
      <c r="E251" s="11">
        <v>15923.4</v>
      </c>
    </row>
    <row r="252" spans="4:5" ht="16.5">
      <c r="D252" s="127">
        <v>44381</v>
      </c>
      <c r="E252" s="11">
        <v>15689.8</v>
      </c>
    </row>
    <row r="253" spans="4:5" ht="16.5">
      <c r="D253" s="127">
        <v>44374</v>
      </c>
      <c r="E253" s="11">
        <v>15722.2</v>
      </c>
    </row>
    <row r="254" spans="4:5" ht="16.5">
      <c r="D254" s="127">
        <v>44367</v>
      </c>
      <c r="E254" s="11">
        <v>15860.35</v>
      </c>
    </row>
    <row r="255" spans="4:5" ht="16.5">
      <c r="D255" s="127">
        <v>44360</v>
      </c>
      <c r="E255" s="11">
        <v>15683.35</v>
      </c>
    </row>
    <row r="256" spans="4:5" ht="16.5">
      <c r="D256" s="127">
        <v>44353</v>
      </c>
      <c r="E256" s="11">
        <v>15799.35</v>
      </c>
    </row>
    <row r="257" spans="4:5" ht="16.5">
      <c r="D257" s="127">
        <v>44346</v>
      </c>
      <c r="E257" s="11">
        <v>15670.25</v>
      </c>
    </row>
    <row r="258" spans="4:5" ht="16.5">
      <c r="D258" s="127">
        <v>44339</v>
      </c>
      <c r="E258" s="11">
        <v>15435.65</v>
      </c>
    </row>
    <row r="259" spans="4:5" ht="16.5">
      <c r="D259" s="127">
        <v>44332</v>
      </c>
      <c r="E259" s="11">
        <v>15175.3</v>
      </c>
    </row>
    <row r="260" spans="4:5" ht="16.5">
      <c r="D260" s="127">
        <v>44325</v>
      </c>
      <c r="E260" s="11">
        <v>14677.8</v>
      </c>
    </row>
    <row r="261" spans="4:5" ht="16.5">
      <c r="D261" s="127">
        <v>44318</v>
      </c>
      <c r="E261" s="11">
        <v>14823.15</v>
      </c>
    </row>
    <row r="262" spans="4:5" ht="16.5">
      <c r="D262" s="127">
        <v>44311</v>
      </c>
      <c r="E262" s="11">
        <v>14631.1</v>
      </c>
    </row>
    <row r="263" spans="4:5" ht="16.5">
      <c r="D263" s="127">
        <v>44304</v>
      </c>
      <c r="E263" s="11">
        <v>14341.35</v>
      </c>
    </row>
    <row r="264" spans="4:5" ht="16.5">
      <c r="D264" s="127">
        <v>44297</v>
      </c>
      <c r="E264" s="11">
        <v>14617.85</v>
      </c>
    </row>
    <row r="265" spans="4:5" ht="16.5">
      <c r="D265" s="127">
        <v>44290</v>
      </c>
      <c r="E265" s="11">
        <v>14834.85</v>
      </c>
    </row>
    <row r="266" spans="4:5" ht="16.5">
      <c r="D266" s="127">
        <v>44283</v>
      </c>
      <c r="E266" s="11">
        <v>14867.35</v>
      </c>
    </row>
    <row r="267" spans="4:5" ht="16.5">
      <c r="D267" s="127">
        <v>44276</v>
      </c>
      <c r="E267" s="11">
        <v>14507.3</v>
      </c>
    </row>
    <row r="268" spans="4:5" ht="16.5">
      <c r="D268" s="127">
        <v>44269</v>
      </c>
      <c r="E268" s="11">
        <v>14744</v>
      </c>
    </row>
    <row r="269" spans="4:5" ht="16.5">
      <c r="D269" s="127">
        <v>44262</v>
      </c>
      <c r="E269" s="11">
        <v>15030.95</v>
      </c>
    </row>
    <row r="270" spans="4:5" ht="16.5">
      <c r="D270" s="127">
        <v>44255</v>
      </c>
      <c r="E270" s="11">
        <v>14938.1</v>
      </c>
    </row>
    <row r="271" spans="4:5" ht="16.5">
      <c r="D271" s="127">
        <v>44248</v>
      </c>
      <c r="E271" s="11">
        <v>14529.15</v>
      </c>
    </row>
    <row r="272" spans="4:5" ht="16.5">
      <c r="D272" s="127">
        <v>44241</v>
      </c>
      <c r="E272" s="11">
        <v>14981.75</v>
      </c>
    </row>
    <row r="273" spans="4:5" ht="16.5">
      <c r="D273" s="127">
        <v>44234</v>
      </c>
      <c r="E273" s="11">
        <v>15163.3</v>
      </c>
    </row>
    <row r="274" spans="4:5" ht="16.5">
      <c r="D274" s="127">
        <v>44227</v>
      </c>
      <c r="E274" s="11">
        <v>14924.25</v>
      </c>
    </row>
    <row r="275" spans="4:5" ht="16.5">
      <c r="D275" s="127">
        <v>44220</v>
      </c>
      <c r="E275" s="11">
        <v>13634.6</v>
      </c>
    </row>
    <row r="276" spans="4:5" ht="16.5">
      <c r="D276" s="127">
        <v>44213</v>
      </c>
      <c r="E276" s="11">
        <v>14371.9</v>
      </c>
    </row>
    <row r="277" spans="4:5" ht="16.5">
      <c r="D277" s="127">
        <v>44206</v>
      </c>
      <c r="E277" s="11">
        <v>14433.7</v>
      </c>
    </row>
    <row r="278" spans="4:5" ht="16.5">
      <c r="D278" s="127">
        <v>44199</v>
      </c>
      <c r="E278" s="11">
        <v>14347.25</v>
      </c>
    </row>
    <row r="279" spans="4:5" ht="16.5">
      <c r="D279" s="127">
        <v>44192</v>
      </c>
      <c r="E279" s="11">
        <v>14018.5</v>
      </c>
    </row>
    <row r="280" spans="4:5" ht="16.5">
      <c r="D280" s="127">
        <v>44185</v>
      </c>
      <c r="E280" s="11">
        <v>13749.25</v>
      </c>
    </row>
    <row r="281" spans="4:5" ht="16.5">
      <c r="D281" s="127">
        <v>44178</v>
      </c>
      <c r="E281" s="11">
        <v>13760.55</v>
      </c>
    </row>
    <row r="282" spans="4:5" ht="16.5">
      <c r="D282" s="127">
        <v>44171</v>
      </c>
      <c r="E282" s="11">
        <v>13513.85</v>
      </c>
    </row>
    <row r="283" spans="4:5" ht="16.5">
      <c r="D283" s="127">
        <v>44164</v>
      </c>
      <c r="E283" s="11">
        <v>13258.55</v>
      </c>
    </row>
    <row r="284" spans="4:5" ht="16.5">
      <c r="D284" s="127">
        <v>44157</v>
      </c>
      <c r="E284" s="11">
        <v>12968.95</v>
      </c>
    </row>
    <row r="285" spans="4:5" ht="16.5">
      <c r="D285" s="127">
        <v>44150</v>
      </c>
      <c r="E285" s="11">
        <v>12859.05</v>
      </c>
    </row>
    <row r="286" spans="4:5" ht="16.5">
      <c r="D286" s="127">
        <v>44143</v>
      </c>
      <c r="E286" s="11">
        <v>12719.95</v>
      </c>
    </row>
    <row r="287" spans="4:5" ht="16.5">
      <c r="D287" s="127">
        <v>44136</v>
      </c>
      <c r="E287" s="11">
        <v>12263.55</v>
      </c>
    </row>
    <row r="288" spans="4:5" ht="16.5">
      <c r="D288" s="127">
        <v>44129</v>
      </c>
      <c r="E288" s="11">
        <v>11642.4</v>
      </c>
    </row>
    <row r="289" spans="4:5" ht="16.5">
      <c r="D289" s="127">
        <v>44122</v>
      </c>
      <c r="E289" s="11">
        <v>11930.35</v>
      </c>
    </row>
    <row r="290" spans="4:5" ht="16.5">
      <c r="D290" s="127">
        <v>44115</v>
      </c>
      <c r="E290" s="11">
        <v>11762.45</v>
      </c>
    </row>
    <row r="291" spans="4:5" ht="16.5">
      <c r="D291" s="127">
        <v>44108</v>
      </c>
      <c r="E291" s="11">
        <v>11914.2</v>
      </c>
    </row>
    <row r="292" spans="4:5" ht="16.5">
      <c r="D292" s="127">
        <v>44101</v>
      </c>
      <c r="E292" s="11">
        <v>11416.95</v>
      </c>
    </row>
    <row r="293" spans="4:5" ht="16.5">
      <c r="D293" s="127">
        <v>44094</v>
      </c>
      <c r="E293" s="11">
        <v>11050.25</v>
      </c>
    </row>
    <row r="294" spans="4:5" ht="16.5">
      <c r="D294" s="127">
        <v>44087</v>
      </c>
      <c r="E294" s="11">
        <v>11504.95</v>
      </c>
    </row>
    <row r="295" spans="4:5" ht="16.5">
      <c r="D295" s="127">
        <v>44080</v>
      </c>
      <c r="E295" s="11">
        <v>11464.45</v>
      </c>
    </row>
    <row r="296" spans="4:5" ht="16.5">
      <c r="D296" s="127">
        <v>44073</v>
      </c>
      <c r="E296" s="11">
        <v>11333.85</v>
      </c>
    </row>
    <row r="297" spans="4:5" ht="16.5">
      <c r="D297" s="127">
        <v>44066</v>
      </c>
      <c r="E297" s="11">
        <v>11647.6</v>
      </c>
    </row>
    <row r="298" spans="4:5" ht="16.5">
      <c r="D298" s="127">
        <v>44059</v>
      </c>
      <c r="E298" s="11">
        <v>11371.6</v>
      </c>
    </row>
    <row r="299" spans="4:5" ht="16.5">
      <c r="D299" s="127">
        <v>44052</v>
      </c>
      <c r="E299" s="11">
        <v>11178.4</v>
      </c>
    </row>
    <row r="300" spans="4:5" ht="16.5">
      <c r="D300" s="127">
        <v>44045</v>
      </c>
      <c r="E300" s="11">
        <v>11214.05</v>
      </c>
    </row>
    <row r="301" spans="4:5" ht="16.5">
      <c r="D301" s="127">
        <v>44038</v>
      </c>
      <c r="E301" s="11">
        <v>11073.45</v>
      </c>
    </row>
    <row r="302" spans="4:5" ht="16.5">
      <c r="D302" s="127">
        <v>44031</v>
      </c>
      <c r="E302" s="11">
        <v>11194.15</v>
      </c>
    </row>
    <row r="303" spans="4:5" ht="16.5">
      <c r="D303" s="127">
        <v>44024</v>
      </c>
      <c r="E303" s="11">
        <v>10901.7</v>
      </c>
    </row>
    <row r="304" spans="4:5" ht="16.5">
      <c r="D304" s="127">
        <v>44017</v>
      </c>
      <c r="E304" s="11">
        <v>10768.05</v>
      </c>
    </row>
    <row r="305" spans="4:5" ht="16.5">
      <c r="D305" s="127">
        <v>44010</v>
      </c>
      <c r="E305" s="11">
        <v>10607.35</v>
      </c>
    </row>
    <row r="306" spans="4:5" ht="16.5">
      <c r="D306" s="127">
        <v>44003</v>
      </c>
      <c r="E306" s="11">
        <v>10383</v>
      </c>
    </row>
    <row r="307" spans="4:5" ht="16.5">
      <c r="D307" s="127">
        <v>43996</v>
      </c>
      <c r="E307" s="11">
        <v>10244.4</v>
      </c>
    </row>
    <row r="308" spans="4:5" ht="16.5">
      <c r="D308" s="127">
        <v>43989</v>
      </c>
      <c r="E308" s="11">
        <v>9972.9</v>
      </c>
    </row>
    <row r="309" spans="4:5" ht="16.5">
      <c r="D309" s="127">
        <v>43982</v>
      </c>
      <c r="E309" s="11">
        <v>10142.15</v>
      </c>
    </row>
    <row r="310" spans="4:5" ht="16.5">
      <c r="D310" s="127">
        <v>43975</v>
      </c>
      <c r="E310" s="11">
        <v>9580.2999999999993</v>
      </c>
    </row>
    <row r="311" spans="4:5" ht="16.5">
      <c r="D311" s="127">
        <v>43968</v>
      </c>
      <c r="E311" s="11">
        <v>9039.25</v>
      </c>
    </row>
    <row r="312" spans="4:5" ht="16.5">
      <c r="D312" s="127">
        <v>43961</v>
      </c>
      <c r="E312" s="11">
        <v>9136.85</v>
      </c>
    </row>
    <row r="313" spans="4:5" ht="16.5">
      <c r="D313" s="127">
        <v>43954</v>
      </c>
      <c r="E313" s="11">
        <v>9251.5</v>
      </c>
    </row>
    <row r="314" spans="4:5" ht="16.5">
      <c r="D314" s="127">
        <v>43947</v>
      </c>
      <c r="E314" s="11">
        <v>9859.9</v>
      </c>
    </row>
    <row r="315" spans="4:5" ht="16.5">
      <c r="D315" s="127">
        <v>43940</v>
      </c>
      <c r="E315" s="11">
        <v>9154.4</v>
      </c>
    </row>
    <row r="316" spans="4:5" ht="16.5">
      <c r="D316" s="127">
        <v>43933</v>
      </c>
      <c r="E316" s="11">
        <v>9266.75</v>
      </c>
    </row>
    <row r="317" spans="4:5" ht="16.5">
      <c r="D317" s="127">
        <v>43926</v>
      </c>
      <c r="E317" s="11">
        <v>9111.9</v>
      </c>
    </row>
    <row r="318" spans="4:5" ht="16.5">
      <c r="D318" s="127">
        <v>43919</v>
      </c>
      <c r="E318" s="11">
        <v>8083.8</v>
      </c>
    </row>
    <row r="319" spans="4:5" ht="16.5">
      <c r="D319" s="127">
        <v>43912</v>
      </c>
      <c r="E319" s="11">
        <v>8660.25</v>
      </c>
    </row>
    <row r="320" spans="4:5" ht="16.5">
      <c r="D320" s="127">
        <v>43905</v>
      </c>
      <c r="E320" s="11">
        <v>8745.4500000000007</v>
      </c>
    </row>
    <row r="321" spans="4:5" ht="16.5">
      <c r="D321" s="127">
        <v>43898</v>
      </c>
      <c r="E321" s="11">
        <v>9955.2000000000007</v>
      </c>
    </row>
    <row r="322" spans="4:5" ht="16.5">
      <c r="D322" s="127">
        <v>43891</v>
      </c>
      <c r="E322" s="11">
        <v>10989.45</v>
      </c>
    </row>
    <row r="323" spans="4:5" ht="16.5">
      <c r="D323" s="127">
        <v>43884</v>
      </c>
      <c r="E323" s="11">
        <v>11201.75</v>
      </c>
    </row>
    <row r="324" spans="4:5" ht="16.5">
      <c r="D324" s="127">
        <v>43877</v>
      </c>
      <c r="E324" s="11">
        <v>12080.85</v>
      </c>
    </row>
    <row r="325" spans="4:5" ht="16.5">
      <c r="D325" s="127">
        <v>43870</v>
      </c>
      <c r="E325" s="11">
        <v>12113.45</v>
      </c>
    </row>
    <row r="326" spans="4:5" ht="16.5">
      <c r="D326" s="127">
        <v>43863</v>
      </c>
      <c r="E326" s="11">
        <v>12098.35</v>
      </c>
    </row>
    <row r="327" spans="4:5" ht="16.5">
      <c r="D327" s="127">
        <v>43856</v>
      </c>
      <c r="E327" s="11">
        <v>11962.1</v>
      </c>
    </row>
    <row r="328" spans="4:5" ht="16.5">
      <c r="D328" s="127">
        <v>43849</v>
      </c>
      <c r="E328" s="11">
        <v>12248.25</v>
      </c>
    </row>
    <row r="329" spans="4:5" ht="16.5">
      <c r="D329" s="127">
        <v>43842</v>
      </c>
      <c r="E329" s="11">
        <v>12352.35</v>
      </c>
    </row>
    <row r="330" spans="4:5" ht="16.5">
      <c r="D330" s="127">
        <v>43835</v>
      </c>
      <c r="E330" s="11">
        <v>12256.8</v>
      </c>
    </row>
    <row r="331" spans="4:5" ht="16.5">
      <c r="D331" s="127">
        <v>43828</v>
      </c>
      <c r="E331" s="11">
        <v>12226.65</v>
      </c>
    </row>
    <row r="332" spans="4:5" ht="16.5">
      <c r="D332" s="127">
        <v>43821</v>
      </c>
      <c r="E332" s="11">
        <v>12245.8</v>
      </c>
    </row>
    <row r="333" spans="4:5" ht="16.5">
      <c r="D333" s="127">
        <v>43814</v>
      </c>
      <c r="E333" s="11">
        <v>12271.8</v>
      </c>
    </row>
    <row r="334" spans="4:5" ht="16.5">
      <c r="D334" s="127">
        <v>43807</v>
      </c>
      <c r="E334" s="11">
        <v>12086.7</v>
      </c>
    </row>
    <row r="335" spans="4:5" ht="16.5">
      <c r="D335" s="127">
        <v>43800</v>
      </c>
      <c r="E335" s="11">
        <v>11921.5</v>
      </c>
    </row>
    <row r="336" spans="4:5" ht="16.5">
      <c r="D336" s="127">
        <v>43793</v>
      </c>
      <c r="E336" s="11">
        <v>12056.05</v>
      </c>
    </row>
    <row r="337" spans="4:5" ht="16.5">
      <c r="D337" s="127">
        <v>43786</v>
      </c>
      <c r="E337" s="11">
        <v>11914.4</v>
      </c>
    </row>
    <row r="338" spans="4:5" ht="16.5">
      <c r="D338" s="127">
        <v>43779</v>
      </c>
      <c r="E338" s="11">
        <v>11895.45</v>
      </c>
    </row>
    <row r="339" spans="4:5" ht="16.5">
      <c r="D339" s="127">
        <v>43772</v>
      </c>
      <c r="E339" s="11">
        <v>11908.15</v>
      </c>
    </row>
    <row r="340" spans="4:5" ht="16.5">
      <c r="D340" s="127">
        <v>43765</v>
      </c>
      <c r="E340" s="11">
        <v>11890.6</v>
      </c>
    </row>
    <row r="341" spans="4:5" ht="16.5">
      <c r="D341" s="127">
        <v>43758</v>
      </c>
      <c r="E341" s="11">
        <v>11583.9</v>
      </c>
    </row>
    <row r="342" spans="4:5" ht="16.5">
      <c r="D342" s="127">
        <v>43751</v>
      </c>
      <c r="E342" s="11">
        <v>11661.85</v>
      </c>
    </row>
    <row r="343" spans="4:5" ht="16.5">
      <c r="D343" s="127">
        <v>43744</v>
      </c>
      <c r="E343" s="11">
        <v>11305.05</v>
      </c>
    </row>
    <row r="344" spans="4:5" ht="16.5">
      <c r="D344" s="127">
        <v>43737</v>
      </c>
      <c r="E344" s="11">
        <v>11174.75</v>
      </c>
    </row>
    <row r="345" spans="4:5" ht="16.5">
      <c r="D345" s="127">
        <v>43730</v>
      </c>
      <c r="E345" s="11">
        <v>11512.4</v>
      </c>
    </row>
    <row r="346" spans="4:5" ht="16.5">
      <c r="D346" s="127">
        <v>43723</v>
      </c>
      <c r="E346" s="11">
        <v>11274.2</v>
      </c>
    </row>
    <row r="347" spans="4:5" ht="16.5">
      <c r="D347" s="127">
        <v>43716</v>
      </c>
      <c r="E347" s="11">
        <v>11075.9</v>
      </c>
    </row>
    <row r="348" spans="4:5" ht="16.5">
      <c r="D348" s="127">
        <v>43709</v>
      </c>
      <c r="E348" s="11">
        <v>10946.2</v>
      </c>
    </row>
    <row r="349" spans="4:5" ht="16.5">
      <c r="D349" s="127">
        <v>43702</v>
      </c>
      <c r="E349" s="11">
        <v>11023.25</v>
      </c>
    </row>
    <row r="350" spans="4:5" ht="16.5">
      <c r="D350" s="127">
        <v>43695</v>
      </c>
      <c r="E350" s="11">
        <v>10829.35</v>
      </c>
    </row>
    <row r="351" spans="4:5" ht="16.5">
      <c r="D351" s="127">
        <v>43688</v>
      </c>
      <c r="E351" s="11">
        <v>11047.8</v>
      </c>
    </row>
    <row r="352" spans="4:5" ht="16.5">
      <c r="D352" s="127">
        <v>43681</v>
      </c>
      <c r="E352" s="11">
        <v>11109.65</v>
      </c>
    </row>
    <row r="353" spans="4:5" ht="16.5">
      <c r="D353" s="127">
        <v>43674</v>
      </c>
      <c r="E353" s="11">
        <v>10997.35</v>
      </c>
    </row>
    <row r="354" spans="4:5" ht="16.5">
      <c r="D354" s="127">
        <v>43667</v>
      </c>
      <c r="E354" s="11">
        <v>11284.3</v>
      </c>
    </row>
    <row r="355" spans="4:5" ht="16.5">
      <c r="D355" s="127">
        <v>43660</v>
      </c>
      <c r="E355" s="11">
        <v>11419.25</v>
      </c>
    </row>
    <row r="356" spans="4:5" ht="16.5">
      <c r="D356" s="127">
        <v>43653</v>
      </c>
      <c r="E356" s="11">
        <v>11552.5</v>
      </c>
    </row>
    <row r="357" spans="4:5" ht="16.5">
      <c r="D357" s="127">
        <v>43646</v>
      </c>
      <c r="E357" s="11">
        <v>11811.15</v>
      </c>
    </row>
    <row r="358" spans="4:5" ht="16.5">
      <c r="D358" s="127">
        <v>43639</v>
      </c>
      <c r="E358" s="11">
        <v>11788.85</v>
      </c>
    </row>
    <row r="359" spans="4:5" ht="16.5">
      <c r="D359" s="127">
        <v>43632</v>
      </c>
      <c r="E359" s="11">
        <v>11724.1</v>
      </c>
    </row>
    <row r="360" spans="4:5" ht="16.5">
      <c r="D360" s="127">
        <v>43625</v>
      </c>
      <c r="E360" s="11">
        <v>11823.3</v>
      </c>
    </row>
    <row r="361" spans="4:5" ht="16.5">
      <c r="D361" s="127">
        <v>43618</v>
      </c>
      <c r="E361" s="11">
        <v>11870.65</v>
      </c>
    </row>
    <row r="362" spans="4:5" ht="16.5">
      <c r="D362" s="127">
        <v>43611</v>
      </c>
      <c r="E362" s="11">
        <v>11922.8</v>
      </c>
    </row>
    <row r="363" spans="4:5" ht="16.5">
      <c r="D363" s="127">
        <v>43604</v>
      </c>
      <c r="E363" s="11">
        <v>11844.1</v>
      </c>
    </row>
    <row r="364" spans="4:5" ht="16.5">
      <c r="D364" s="127">
        <v>43597</v>
      </c>
      <c r="E364" s="11">
        <v>11407.15</v>
      </c>
    </row>
    <row r="365" spans="4:5" ht="16.5">
      <c r="D365" s="127">
        <v>43590</v>
      </c>
      <c r="E365" s="11">
        <v>11278.9</v>
      </c>
    </row>
    <row r="366" spans="4:5" ht="16.5">
      <c r="D366" s="127">
        <v>43583</v>
      </c>
      <c r="E366" s="11">
        <v>11712.25</v>
      </c>
    </row>
    <row r="367" spans="4:5" ht="16.5">
      <c r="D367" s="127">
        <v>43576</v>
      </c>
      <c r="E367" s="11">
        <v>11754.65</v>
      </c>
    </row>
    <row r="368" spans="4:5" ht="16.5">
      <c r="D368" s="127">
        <v>43569</v>
      </c>
      <c r="E368" s="11">
        <v>11752.8</v>
      </c>
    </row>
    <row r="369" spans="4:5" ht="16.5">
      <c r="D369" s="127">
        <v>43562</v>
      </c>
      <c r="E369" s="11">
        <v>11643.45</v>
      </c>
    </row>
    <row r="370" spans="4:5" ht="16.5">
      <c r="D370" s="127">
        <v>43555</v>
      </c>
      <c r="E370" s="11">
        <v>11665.95</v>
      </c>
    </row>
    <row r="371" spans="4:5" ht="16.5">
      <c r="D371" s="127">
        <v>43548</v>
      </c>
      <c r="E371" s="11">
        <v>11623.9</v>
      </c>
    </row>
    <row r="372" spans="4:5" ht="16.5">
      <c r="D372" s="127">
        <v>43541</v>
      </c>
      <c r="E372" s="11">
        <v>11456.9</v>
      </c>
    </row>
    <row r="373" spans="4:5" ht="16.5">
      <c r="D373" s="127">
        <v>43534</v>
      </c>
      <c r="E373" s="11">
        <v>11426.85</v>
      </c>
    </row>
    <row r="374" spans="4:5" ht="16.5">
      <c r="D374" s="127">
        <v>43527</v>
      </c>
      <c r="E374" s="11">
        <v>11035.4</v>
      </c>
    </row>
    <row r="375" spans="4:5" ht="16.5">
      <c r="D375" s="127">
        <v>43520</v>
      </c>
      <c r="E375" s="11">
        <v>10863.5</v>
      </c>
    </row>
    <row r="376" spans="4:5" ht="16.5">
      <c r="D376" s="127">
        <v>43513</v>
      </c>
      <c r="E376" s="11">
        <v>10791.65</v>
      </c>
    </row>
    <row r="377" spans="4:5" ht="16.5">
      <c r="D377" s="127">
        <v>43506</v>
      </c>
      <c r="E377" s="11">
        <v>10724.4</v>
      </c>
    </row>
    <row r="378" spans="4:5" ht="16.5">
      <c r="D378" s="127">
        <v>43499</v>
      </c>
      <c r="E378" s="11">
        <v>10943.6</v>
      </c>
    </row>
    <row r="379" spans="4:5" ht="16.5">
      <c r="D379" s="127">
        <v>43492</v>
      </c>
      <c r="E379" s="11">
        <v>10893.65</v>
      </c>
    </row>
    <row r="380" spans="4:5" ht="16.5">
      <c r="D380" s="127">
        <v>43485</v>
      </c>
      <c r="E380" s="11">
        <v>10780.55</v>
      </c>
    </row>
    <row r="381" spans="4:5" ht="16.5">
      <c r="D381" s="127">
        <v>43478</v>
      </c>
      <c r="E381" s="11">
        <v>10906.95</v>
      </c>
    </row>
    <row r="382" spans="4:5" ht="16.5">
      <c r="D382" s="127">
        <v>43471</v>
      </c>
      <c r="E382" s="11">
        <v>10794.95</v>
      </c>
    </row>
    <row r="383" spans="4:5" ht="16.5">
      <c r="D383" s="127">
        <v>43464</v>
      </c>
      <c r="E383" s="11">
        <v>10727.35</v>
      </c>
    </row>
    <row r="384" spans="4:5" ht="16.5">
      <c r="D384" s="127">
        <v>43457</v>
      </c>
      <c r="E384" s="11">
        <v>10859.9</v>
      </c>
    </row>
    <row r="385" spans="4:5" ht="16.5">
      <c r="D385" s="127">
        <v>43450</v>
      </c>
      <c r="E385" s="11">
        <v>10754</v>
      </c>
    </row>
    <row r="386" spans="4:5" ht="16.5">
      <c r="D386" s="127">
        <v>43443</v>
      </c>
      <c r="E386" s="11">
        <v>10805.45</v>
      </c>
    </row>
    <row r="387" spans="4:5" ht="16.5">
      <c r="D387" s="127">
        <v>43436</v>
      </c>
      <c r="E387" s="11">
        <v>10693.7</v>
      </c>
    </row>
    <row r="388" spans="4:5" ht="16.5">
      <c r="D388" s="127">
        <v>43429</v>
      </c>
      <c r="E388" s="11">
        <v>10876.75</v>
      </c>
    </row>
    <row r="389" spans="4:5" ht="16.5">
      <c r="D389" s="127">
        <v>43422</v>
      </c>
      <c r="E389" s="11">
        <v>10526.75</v>
      </c>
    </row>
    <row r="390" spans="4:5" ht="16.5">
      <c r="D390" s="127">
        <v>43415</v>
      </c>
      <c r="E390" s="11">
        <v>10682.2</v>
      </c>
    </row>
    <row r="391" spans="4:5" ht="16.5">
      <c r="D391" s="127">
        <v>43408</v>
      </c>
      <c r="E391" s="11">
        <v>10585.2</v>
      </c>
    </row>
    <row r="392" spans="4:5" ht="16.5">
      <c r="D392" s="127">
        <v>43401</v>
      </c>
      <c r="E392" s="11">
        <v>10553</v>
      </c>
    </row>
    <row r="393" spans="4:5" ht="16.5">
      <c r="D393" s="127">
        <v>43394</v>
      </c>
      <c r="E393" s="11">
        <v>10030</v>
      </c>
    </row>
    <row r="394" spans="4:5" ht="16.5">
      <c r="D394" s="127">
        <v>43387</v>
      </c>
      <c r="E394" s="11">
        <v>10303.549999999999</v>
      </c>
    </row>
    <row r="395" spans="4:5" ht="16.5">
      <c r="D395" s="127">
        <v>43380</v>
      </c>
      <c r="E395" s="11">
        <v>10472.5</v>
      </c>
    </row>
    <row r="396" spans="4:5" ht="16.5">
      <c r="D396" s="127">
        <v>43373</v>
      </c>
      <c r="E396" s="11">
        <v>10316.450000000001</v>
      </c>
    </row>
    <row r="397" spans="4:5" ht="16.5">
      <c r="D397" s="127">
        <v>43366</v>
      </c>
      <c r="E397" s="11">
        <v>10930.45</v>
      </c>
    </row>
    <row r="398" spans="4:5" ht="16.5">
      <c r="D398" s="127">
        <v>43359</v>
      </c>
      <c r="E398" s="11">
        <v>11143.1</v>
      </c>
    </row>
    <row r="399" spans="4:5" ht="16.5">
      <c r="D399" s="127">
        <v>43352</v>
      </c>
      <c r="E399" s="11">
        <v>11515.2</v>
      </c>
    </row>
    <row r="400" spans="4:5" ht="16.5">
      <c r="D400" s="127">
        <v>43345</v>
      </c>
      <c r="E400" s="11">
        <v>11589.1</v>
      </c>
    </row>
    <row r="401" spans="4:5" ht="16.5">
      <c r="D401" s="127">
        <v>43338</v>
      </c>
      <c r="E401" s="11">
        <v>11680.5</v>
      </c>
    </row>
    <row r="402" spans="4:5" ht="16.5">
      <c r="D402" s="127">
        <v>43331</v>
      </c>
      <c r="E402" s="11">
        <v>11557.1</v>
      </c>
    </row>
    <row r="403" spans="4:5" ht="16.5">
      <c r="D403" s="127">
        <v>43324</v>
      </c>
      <c r="E403" s="11">
        <v>11470.75</v>
      </c>
    </row>
    <row r="404" spans="4:5" ht="16.5">
      <c r="D404" s="127">
        <v>43317</v>
      </c>
      <c r="E404" s="11">
        <v>11429.5</v>
      </c>
    </row>
    <row r="405" spans="4:5" ht="16.5">
      <c r="D405" s="127">
        <v>43310</v>
      </c>
      <c r="E405" s="11">
        <v>11360.8</v>
      </c>
    </row>
    <row r="406" spans="4:5" ht="16.5">
      <c r="D406" s="127">
        <v>43303</v>
      </c>
      <c r="E406" s="11">
        <v>11278.35</v>
      </c>
    </row>
    <row r="407" spans="4:5" ht="16.5">
      <c r="D407" s="127">
        <v>43296</v>
      </c>
      <c r="E407" s="11">
        <v>11010.2</v>
      </c>
    </row>
    <row r="408" spans="4:5" ht="16.5">
      <c r="D408" s="127">
        <v>43289</v>
      </c>
      <c r="E408" s="11">
        <v>11018.9</v>
      </c>
    </row>
    <row r="409" spans="4:5" ht="16.5">
      <c r="D409" s="127">
        <v>43282</v>
      </c>
      <c r="E409" s="11">
        <v>10772.65</v>
      </c>
    </row>
    <row r="410" spans="4:5" ht="16.5">
      <c r="D410" s="127">
        <v>43275</v>
      </c>
      <c r="E410" s="11">
        <v>10714.3</v>
      </c>
    </row>
    <row r="411" spans="4:5" ht="16.5">
      <c r="D411" s="127">
        <v>43268</v>
      </c>
      <c r="E411" s="11">
        <v>10821.85</v>
      </c>
    </row>
    <row r="412" spans="4:5" ht="16.5">
      <c r="D412" s="127">
        <v>43261</v>
      </c>
      <c r="E412" s="11">
        <v>10817.7</v>
      </c>
    </row>
    <row r="413" spans="4:5" ht="16.5">
      <c r="D413" s="127">
        <v>43254</v>
      </c>
      <c r="E413" s="11">
        <v>10767.65</v>
      </c>
    </row>
    <row r="414" spans="4:5" ht="16.5">
      <c r="D414" s="127">
        <v>43247</v>
      </c>
      <c r="E414" s="11">
        <v>10696.2</v>
      </c>
    </row>
    <row r="415" spans="4:5" ht="16.5">
      <c r="D415" s="127">
        <v>43240</v>
      </c>
      <c r="E415" s="11">
        <v>10605.15</v>
      </c>
    </row>
    <row r="416" spans="4:5" ht="16.5">
      <c r="D416" s="127">
        <v>43233</v>
      </c>
      <c r="E416" s="11">
        <v>10596.4</v>
      </c>
    </row>
    <row r="417" spans="4:5" ht="16.5">
      <c r="D417" s="127">
        <v>43226</v>
      </c>
      <c r="E417" s="11">
        <v>10806.5</v>
      </c>
    </row>
    <row r="418" spans="4:5" ht="16.5">
      <c r="D418" s="127">
        <v>43219</v>
      </c>
      <c r="E418" s="11">
        <v>10618.25</v>
      </c>
    </row>
    <row r="419" spans="4:5" ht="16.5">
      <c r="D419" s="127">
        <v>43212</v>
      </c>
      <c r="E419" s="11">
        <v>10692.3</v>
      </c>
    </row>
    <row r="420" spans="4:5" ht="16.5">
      <c r="D420" s="127">
        <v>43205</v>
      </c>
      <c r="E420" s="11">
        <v>10564.05</v>
      </c>
    </row>
    <row r="421" spans="4:5" ht="16.5">
      <c r="D421" s="127">
        <v>43198</v>
      </c>
      <c r="E421" s="11">
        <v>10480.6</v>
      </c>
    </row>
    <row r="422" spans="4:5" ht="16.5">
      <c r="D422" s="127">
        <v>43191</v>
      </c>
      <c r="E422" s="11">
        <v>10331.6</v>
      </c>
    </row>
    <row r="423" spans="4:5" ht="16.5">
      <c r="D423" s="127">
        <v>43184</v>
      </c>
      <c r="E423" s="11">
        <v>10113.700000000001</v>
      </c>
    </row>
    <row r="424" spans="4:5" ht="16.5">
      <c r="D424" s="127">
        <v>43177</v>
      </c>
      <c r="E424" s="11">
        <v>9998.0499999999993</v>
      </c>
    </row>
    <row r="425" spans="4:5" ht="16.5">
      <c r="D425" s="127">
        <v>43170</v>
      </c>
      <c r="E425" s="11">
        <v>10195.15</v>
      </c>
    </row>
    <row r="426" spans="4:5" ht="16.5">
      <c r="D426" s="127">
        <v>43163</v>
      </c>
      <c r="E426" s="11">
        <v>10226.85</v>
      </c>
    </row>
    <row r="427" spans="4:5" ht="16.5">
      <c r="D427" s="127">
        <v>43156</v>
      </c>
      <c r="E427" s="11">
        <v>10458.35</v>
      </c>
    </row>
    <row r="428" spans="4:5" ht="16.5">
      <c r="D428" s="127">
        <v>43149</v>
      </c>
      <c r="E428" s="11">
        <v>10491.05</v>
      </c>
    </row>
    <row r="429" spans="4:5" ht="16.5">
      <c r="D429" s="127">
        <v>43142</v>
      </c>
      <c r="E429" s="11">
        <v>10452.299999999999</v>
      </c>
    </row>
    <row r="430" spans="4:5" ht="16.5">
      <c r="D430" s="127">
        <v>43135</v>
      </c>
      <c r="E430" s="11">
        <v>10454.950000000001</v>
      </c>
    </row>
    <row r="431" spans="4:5" ht="16.5">
      <c r="D431" s="127">
        <v>43128</v>
      </c>
      <c r="E431" s="11">
        <v>10760.6</v>
      </c>
    </row>
    <row r="432" spans="4:5" ht="16.5">
      <c r="D432" s="127">
        <v>43121</v>
      </c>
      <c r="E432" s="11">
        <v>11069.65</v>
      </c>
    </row>
    <row r="433" spans="4:5" ht="16.5">
      <c r="D433" s="127">
        <v>43114</v>
      </c>
      <c r="E433" s="11">
        <v>10894.7</v>
      </c>
    </row>
    <row r="434" spans="4:5" ht="16.5">
      <c r="D434" s="127">
        <v>43107</v>
      </c>
      <c r="E434" s="11">
        <v>10681.25</v>
      </c>
    </row>
    <row r="435" spans="4:5" ht="16.5">
      <c r="D435" s="127">
        <v>43100</v>
      </c>
      <c r="E435" s="11">
        <v>10558.85</v>
      </c>
    </row>
    <row r="436" spans="4:5" ht="16.5">
      <c r="D436" s="127">
        <v>43093</v>
      </c>
      <c r="E436" s="11">
        <v>10530.7</v>
      </c>
    </row>
    <row r="437" spans="4:5" ht="16.5">
      <c r="D437" s="127">
        <v>43086</v>
      </c>
      <c r="E437" s="11">
        <v>10493</v>
      </c>
    </row>
    <row r="438" spans="4:5" ht="16.5">
      <c r="D438" s="127">
        <v>43079</v>
      </c>
      <c r="E438" s="11">
        <v>10333.25</v>
      </c>
    </row>
    <row r="439" spans="4:5" ht="16.5">
      <c r="D439" s="127">
        <v>43072</v>
      </c>
      <c r="E439" s="11">
        <v>10265.65</v>
      </c>
    </row>
    <row r="440" spans="4:5" ht="16.5">
      <c r="D440" s="127">
        <v>43065</v>
      </c>
      <c r="E440" s="11">
        <v>10121.799999999999</v>
      </c>
    </row>
    <row r="441" spans="4:5" ht="16.5">
      <c r="D441" s="127">
        <v>43058</v>
      </c>
      <c r="E441" s="11">
        <v>10389.700000000001</v>
      </c>
    </row>
    <row r="442" spans="4:5" ht="16.5">
      <c r="D442" s="127">
        <v>43051</v>
      </c>
      <c r="E442" s="11">
        <v>10283.6</v>
      </c>
    </row>
    <row r="443" spans="4:5" ht="16.5">
      <c r="D443" s="127">
        <v>43044</v>
      </c>
      <c r="E443" s="11">
        <v>10321.75</v>
      </c>
    </row>
    <row r="444" spans="4:5" ht="16.5">
      <c r="D444" s="127">
        <v>43037</v>
      </c>
      <c r="E444" s="11">
        <v>10452.5</v>
      </c>
    </row>
    <row r="445" spans="4:5" ht="16.5">
      <c r="D445" s="127">
        <v>43030</v>
      </c>
      <c r="E445" s="11">
        <v>10323.049999999999</v>
      </c>
    </row>
    <row r="446" spans="4:5" ht="16.5">
      <c r="D446" s="127">
        <v>43023</v>
      </c>
      <c r="E446" s="11">
        <v>10146.549999999999</v>
      </c>
    </row>
    <row r="447" spans="4:5" ht="16.5">
      <c r="D447" s="127">
        <v>43016</v>
      </c>
      <c r="E447" s="11">
        <v>10167.450000000001</v>
      </c>
    </row>
    <row r="448" spans="4:5" ht="16.5">
      <c r="D448" s="127">
        <v>43009</v>
      </c>
      <c r="E448" s="11">
        <v>9979.7000000000007</v>
      </c>
    </row>
    <row r="449" spans="4:5" ht="16.5">
      <c r="D449" s="127">
        <v>43002</v>
      </c>
      <c r="E449" s="11">
        <v>9788.6</v>
      </c>
    </row>
    <row r="450" spans="4:5" ht="16.5">
      <c r="D450" s="127">
        <v>42995</v>
      </c>
      <c r="E450" s="11">
        <v>9964.4</v>
      </c>
    </row>
    <row r="451" spans="4:5" ht="16.5">
      <c r="D451" s="127">
        <v>42988</v>
      </c>
      <c r="E451" s="11">
        <v>10085.4</v>
      </c>
    </row>
    <row r="452" spans="4:5" ht="16.5">
      <c r="D452" s="127">
        <v>42981</v>
      </c>
      <c r="E452" s="11">
        <v>9934.7999999999993</v>
      </c>
    </row>
    <row r="453" spans="4:5" ht="16.5">
      <c r="D453" s="127">
        <v>42974</v>
      </c>
      <c r="E453" s="11">
        <v>9974.4</v>
      </c>
    </row>
    <row r="454" spans="4:5" ht="16.5">
      <c r="D454" s="127">
        <v>42967</v>
      </c>
      <c r="E454" s="11">
        <v>9857.0499999999993</v>
      </c>
    </row>
    <row r="455" spans="4:5" ht="16.5">
      <c r="D455" s="127">
        <v>42960</v>
      </c>
      <c r="E455" s="11">
        <v>9837.4</v>
      </c>
    </row>
    <row r="456" spans="4:5" ht="16.5">
      <c r="D456" s="127">
        <v>42953</v>
      </c>
      <c r="E456" s="11">
        <v>9710.7999999999993</v>
      </c>
    </row>
    <row r="457" spans="4:5" ht="16.5">
      <c r="D457" s="127">
        <v>42946</v>
      </c>
      <c r="E457" s="11">
        <v>10066.4</v>
      </c>
    </row>
    <row r="458" spans="4:5" ht="16.5">
      <c r="D458" s="127">
        <v>42939</v>
      </c>
      <c r="E458" s="11">
        <v>10014.5</v>
      </c>
    </row>
    <row r="459" spans="4:5" ht="16.5">
      <c r="D459" s="127">
        <v>42932</v>
      </c>
      <c r="E459" s="11">
        <v>9915.25</v>
      </c>
    </row>
    <row r="460" spans="4:5" ht="16.5">
      <c r="D460" s="127">
        <v>42925</v>
      </c>
      <c r="E460" s="11">
        <v>9886.35</v>
      </c>
    </row>
    <row r="461" spans="4:5" ht="16.5">
      <c r="D461" s="127">
        <v>42918</v>
      </c>
      <c r="E461" s="11">
        <v>9665.7999999999993</v>
      </c>
    </row>
    <row r="462" spans="4:5" ht="16.5">
      <c r="D462" s="127">
        <v>42911</v>
      </c>
      <c r="E462" s="11">
        <v>9520.9</v>
      </c>
    </row>
    <row r="463" spans="4:5" ht="16.5">
      <c r="D463" s="127">
        <v>42904</v>
      </c>
      <c r="E463" s="11">
        <v>9574.9500000000007</v>
      </c>
    </row>
    <row r="464" spans="4:5" ht="16.5">
      <c r="D464" s="127">
        <v>42897</v>
      </c>
      <c r="E464" s="11">
        <v>9588.0499999999993</v>
      </c>
    </row>
    <row r="465" spans="4:5" ht="16.5">
      <c r="D465" s="127">
        <v>42890</v>
      </c>
      <c r="E465" s="11">
        <v>9668.25</v>
      </c>
    </row>
    <row r="466" spans="4:5" ht="16.5">
      <c r="D466" s="127">
        <v>42883</v>
      </c>
      <c r="E466" s="11">
        <v>9653.5</v>
      </c>
    </row>
    <row r="467" spans="4:5" ht="16.5">
      <c r="D467" s="127">
        <v>42876</v>
      </c>
      <c r="E467" s="11">
        <v>9595.1</v>
      </c>
    </row>
    <row r="468" spans="4:5" ht="16.5">
      <c r="D468" s="127">
        <v>42869</v>
      </c>
      <c r="E468" s="11">
        <v>9427.9</v>
      </c>
    </row>
    <row r="469" spans="4:5" ht="16.5">
      <c r="D469" s="127">
        <v>42862</v>
      </c>
      <c r="E469" s="11">
        <v>9400.9</v>
      </c>
    </row>
    <row r="470" spans="4:5" ht="16.5">
      <c r="D470" s="127">
        <v>42855</v>
      </c>
      <c r="E470" s="11">
        <v>9285.2999999999993</v>
      </c>
    </row>
    <row r="471" spans="4:5" ht="16.5">
      <c r="D471" s="127">
        <v>42848</v>
      </c>
      <c r="E471" s="11">
        <v>9304.0499999999993</v>
      </c>
    </row>
    <row r="472" spans="4:5" ht="16.5">
      <c r="D472" s="127">
        <v>42841</v>
      </c>
      <c r="E472" s="11">
        <v>9119.4</v>
      </c>
    </row>
    <row r="473" spans="4:5" ht="16.5">
      <c r="D473" s="127">
        <v>42834</v>
      </c>
      <c r="E473" s="11">
        <v>9150.7999999999993</v>
      </c>
    </row>
    <row r="474" spans="4:5" ht="16.5">
      <c r="D474" s="127">
        <v>42827</v>
      </c>
      <c r="E474" s="11">
        <v>9198.2999999999993</v>
      </c>
    </row>
    <row r="475" spans="4:5" ht="16.5">
      <c r="D475" s="127">
        <v>42820</v>
      </c>
      <c r="E475" s="11">
        <v>9173.75</v>
      </c>
    </row>
    <row r="476" spans="4:5" ht="16.5">
      <c r="D476" s="127">
        <v>42813</v>
      </c>
      <c r="E476" s="11">
        <v>9108</v>
      </c>
    </row>
    <row r="477" spans="4:5" ht="16.5">
      <c r="D477" s="127">
        <v>42806</v>
      </c>
      <c r="E477" s="11">
        <v>9160.0499999999993</v>
      </c>
    </row>
    <row r="478" spans="4:5" ht="16.5">
      <c r="D478" s="127">
        <v>42799</v>
      </c>
      <c r="E478" s="11">
        <v>8934.5499999999993</v>
      </c>
    </row>
    <row r="479" spans="4:5" ht="16.5">
      <c r="D479" s="127">
        <v>42792</v>
      </c>
      <c r="E479" s="11">
        <v>8897.5499999999993</v>
      </c>
    </row>
    <row r="480" spans="4:5" ht="16.5">
      <c r="D480" s="127">
        <v>42785</v>
      </c>
      <c r="E480" s="11">
        <v>8939.5</v>
      </c>
    </row>
    <row r="481" spans="4:5" ht="16.5">
      <c r="D481" s="127">
        <v>42778</v>
      </c>
      <c r="E481" s="11">
        <v>8821.7000000000007</v>
      </c>
    </row>
    <row r="482" spans="4:5" ht="16.5">
      <c r="D482" s="127">
        <v>42771</v>
      </c>
      <c r="E482" s="11">
        <v>8793.5499999999993</v>
      </c>
    </row>
    <row r="483" spans="4:5" ht="16.5">
      <c r="D483" s="127">
        <v>42764</v>
      </c>
      <c r="E483" s="11">
        <v>8740.9500000000007</v>
      </c>
    </row>
    <row r="484" spans="4:5" ht="16.5">
      <c r="D484" s="127">
        <v>42757</v>
      </c>
      <c r="E484" s="11">
        <v>8641.25</v>
      </c>
    </row>
    <row r="485" spans="4:5" ht="16.5">
      <c r="D485" s="127">
        <v>42750</v>
      </c>
      <c r="E485" s="11">
        <v>8349.35</v>
      </c>
    </row>
    <row r="486" spans="4:5" ht="16.5">
      <c r="D486" s="127">
        <v>42743</v>
      </c>
      <c r="E486" s="11">
        <v>8400.35</v>
      </c>
    </row>
    <row r="487" spans="4:5" ht="16.5">
      <c r="D487" s="127">
        <v>42736</v>
      </c>
      <c r="E487" s="11">
        <v>8243.7999999999993</v>
      </c>
    </row>
    <row r="488" spans="4:5" ht="16.5">
      <c r="D488" s="127">
        <v>42729</v>
      </c>
      <c r="E488" s="11">
        <v>8185.8</v>
      </c>
    </row>
    <row r="489" spans="4:5" ht="16.5">
      <c r="D489" s="127">
        <v>42722</v>
      </c>
      <c r="E489" s="11">
        <v>7985.75</v>
      </c>
    </row>
    <row r="490" spans="4:5" ht="16.5">
      <c r="D490" s="127">
        <v>42715</v>
      </c>
      <c r="E490" s="11">
        <v>8139.45</v>
      </c>
    </row>
    <row r="491" spans="4:5" ht="16.5">
      <c r="D491" s="127">
        <v>42708</v>
      </c>
      <c r="E491" s="11">
        <v>8261.75</v>
      </c>
    </row>
    <row r="492" spans="4:5" ht="16.5">
      <c r="D492" s="127">
        <v>42701</v>
      </c>
      <c r="E492" s="11">
        <v>8086.8</v>
      </c>
    </row>
    <row r="493" spans="4:5" ht="16.5">
      <c r="D493" s="127">
        <v>42694</v>
      </c>
      <c r="E493" s="11">
        <v>8114.3</v>
      </c>
    </row>
    <row r="494" spans="4:5" ht="16.5">
      <c r="D494" s="127">
        <v>42687</v>
      </c>
      <c r="E494" s="11">
        <v>8074.1</v>
      </c>
    </row>
    <row r="495" spans="4:5" ht="16.5">
      <c r="D495" s="127">
        <v>42680</v>
      </c>
      <c r="E495" s="11">
        <v>8296.2999999999993</v>
      </c>
    </row>
    <row r="496" spans="4:5" ht="16.5">
      <c r="D496" s="127">
        <v>42673</v>
      </c>
      <c r="E496" s="11">
        <v>8433.75</v>
      </c>
    </row>
    <row r="497" spans="4:5" ht="16.5">
      <c r="D497" s="127">
        <v>42666</v>
      </c>
      <c r="E497" s="11">
        <v>8638</v>
      </c>
    </row>
    <row r="498" spans="4:5" ht="16.5">
      <c r="D498" s="127">
        <v>42659</v>
      </c>
      <c r="E498" s="11">
        <v>8693.0499999999993</v>
      </c>
    </row>
    <row r="499" spans="4:5" ht="16.5">
      <c r="D499" s="127">
        <v>42652</v>
      </c>
      <c r="E499" s="11">
        <v>8583.4</v>
      </c>
    </row>
    <row r="500" spans="4:5" ht="16.5">
      <c r="D500" s="127">
        <v>42645</v>
      </c>
      <c r="E500" s="11">
        <v>8697.6</v>
      </c>
    </row>
    <row r="501" spans="4:5" ht="16.5">
      <c r="D501" s="127">
        <v>42638</v>
      </c>
      <c r="E501" s="11">
        <v>8611.15</v>
      </c>
    </row>
    <row r="502" spans="4:5" ht="16.5">
      <c r="D502" s="127">
        <v>42631</v>
      </c>
      <c r="E502" s="11">
        <v>8831.5499999999993</v>
      </c>
    </row>
    <row r="503" spans="4:5" ht="16.5">
      <c r="D503" s="127">
        <v>42624</v>
      </c>
      <c r="E503" s="11">
        <v>8779.85</v>
      </c>
    </row>
    <row r="504" spans="4:5" ht="16.5">
      <c r="D504" s="127">
        <v>42617</v>
      </c>
      <c r="E504" s="11">
        <v>8866.7000000000007</v>
      </c>
    </row>
    <row r="505" spans="4:5" ht="16.5">
      <c r="D505" s="127">
        <v>42610</v>
      </c>
      <c r="E505" s="11">
        <v>8809.65</v>
      </c>
    </row>
    <row r="506" spans="4:5" ht="16.5">
      <c r="D506" s="127">
        <v>42603</v>
      </c>
      <c r="E506" s="11">
        <v>8572.5499999999993</v>
      </c>
    </row>
    <row r="507" spans="4:5" ht="16.5">
      <c r="D507" s="127">
        <v>42596</v>
      </c>
      <c r="E507" s="11">
        <v>8666.9</v>
      </c>
    </row>
    <row r="508" spans="4:5" ht="16.5">
      <c r="D508" s="127">
        <v>42589</v>
      </c>
      <c r="E508" s="11">
        <v>8672.15</v>
      </c>
    </row>
    <row r="509" spans="4:5" ht="16.5">
      <c r="D509" s="127">
        <v>42582</v>
      </c>
      <c r="E509" s="11">
        <v>8683.15</v>
      </c>
    </row>
    <row r="510" spans="4:5" ht="16.5">
      <c r="D510" s="127">
        <v>42575</v>
      </c>
      <c r="E510" s="11">
        <v>8638.5</v>
      </c>
    </row>
    <row r="511" spans="4:5" ht="16.5">
      <c r="D511" s="127">
        <v>42568</v>
      </c>
      <c r="E511" s="11">
        <v>8541.2000000000007</v>
      </c>
    </row>
    <row r="512" spans="4:5" ht="16.5">
      <c r="D512" s="127">
        <v>42561</v>
      </c>
      <c r="E512" s="11">
        <v>8541.4</v>
      </c>
    </row>
    <row r="513" spans="4:5" ht="16.5">
      <c r="D513" s="127">
        <v>42554</v>
      </c>
      <c r="E513" s="11">
        <v>8323.2000000000007</v>
      </c>
    </row>
    <row r="514" spans="4:5" ht="16.5">
      <c r="D514" s="127">
        <v>42547</v>
      </c>
      <c r="E514" s="11">
        <v>8328.35</v>
      </c>
    </row>
    <row r="515" spans="4:5" ht="16.5">
      <c r="D515" s="127">
        <v>42540</v>
      </c>
      <c r="E515" s="11">
        <v>8088.6</v>
      </c>
    </row>
    <row r="516" spans="4:5" ht="16.5">
      <c r="D516" s="127">
        <v>42533</v>
      </c>
      <c r="E516" s="11">
        <v>8170.2</v>
      </c>
    </row>
    <row r="517" spans="4:5" ht="16.5">
      <c r="D517" s="127">
        <v>42526</v>
      </c>
      <c r="E517" s="11">
        <v>8170.05</v>
      </c>
    </row>
    <row r="518" spans="4:5" ht="16.5">
      <c r="D518" s="127">
        <v>42519</v>
      </c>
      <c r="E518" s="11">
        <v>8220.7999999999993</v>
      </c>
    </row>
    <row r="519" spans="4:5" ht="16.5">
      <c r="D519" s="127">
        <v>42512</v>
      </c>
      <c r="E519" s="11">
        <v>8156.65</v>
      </c>
    </row>
    <row r="520" spans="4:5" ht="16.5">
      <c r="D520" s="127">
        <v>42505</v>
      </c>
      <c r="E520" s="11">
        <v>7749.7</v>
      </c>
    </row>
    <row r="521" spans="4:5" ht="16.5">
      <c r="D521" s="127">
        <v>42498</v>
      </c>
      <c r="E521" s="11">
        <v>7814.9</v>
      </c>
    </row>
    <row r="522" spans="4:5" ht="16.5">
      <c r="D522" s="127">
        <v>42491</v>
      </c>
      <c r="E522" s="11">
        <v>7733.45</v>
      </c>
    </row>
    <row r="523" spans="4:5" ht="16.5">
      <c r="D523" s="127">
        <v>42484</v>
      </c>
      <c r="E523" s="11">
        <v>7849.8</v>
      </c>
    </row>
    <row r="524" spans="4:5" ht="16.5">
      <c r="D524" s="127">
        <v>42477</v>
      </c>
      <c r="E524" s="11">
        <v>7899.3</v>
      </c>
    </row>
    <row r="525" spans="4:5" ht="16.5">
      <c r="D525" s="127">
        <v>42470</v>
      </c>
      <c r="E525" s="11">
        <v>7850.45</v>
      </c>
    </row>
    <row r="526" spans="4:5" ht="16.5">
      <c r="D526" s="127">
        <v>42463</v>
      </c>
      <c r="E526" s="11">
        <v>7555.2</v>
      </c>
    </row>
    <row r="527" spans="4:5" ht="16.5">
      <c r="D527" s="127">
        <v>42456</v>
      </c>
      <c r="E527" s="11">
        <v>7713.05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1FB7A-7230-4556-B99B-6BF99D9DDE56}">
  <dimension ref="A1:J49"/>
  <sheetViews>
    <sheetView showGridLines="0" topLeftCell="A10" workbookViewId="0">
      <selection activeCell="A5" sqref="A5:J5"/>
    </sheetView>
  </sheetViews>
  <sheetFormatPr defaultRowHeight="15"/>
  <cols>
    <col min="1" max="1" width="2.7109375" customWidth="1"/>
    <col min="2" max="2" width="39.42578125" customWidth="1"/>
    <col min="3" max="3" width="10.28515625" customWidth="1"/>
    <col min="4" max="4" width="14.85546875" bestFit="1" customWidth="1"/>
    <col min="5" max="5" width="13.7109375" bestFit="1" customWidth="1"/>
    <col min="10" max="10" width="13.7109375" bestFit="1" customWidth="1"/>
  </cols>
  <sheetData>
    <row r="1" spans="1:10" ht="35.25">
      <c r="A1" s="45" t="str">
        <f>Sheet1!B1</f>
        <v>Alkem Laboratories Ltd</v>
      </c>
      <c r="B1" s="46"/>
      <c r="C1" s="46"/>
      <c r="D1" s="46"/>
      <c r="E1" s="46"/>
      <c r="F1" s="46"/>
      <c r="G1" s="40"/>
      <c r="H1" s="40"/>
      <c r="I1" s="40"/>
      <c r="J1" s="40"/>
    </row>
    <row r="2" spans="1:10" ht="18.75">
      <c r="A2" s="86" t="s">
        <v>310</v>
      </c>
      <c r="B2" s="48"/>
      <c r="C2" s="47"/>
      <c r="D2" s="47"/>
      <c r="E2" s="47"/>
      <c r="F2" s="47"/>
      <c r="G2" s="40"/>
      <c r="H2" s="40"/>
      <c r="I2" s="40"/>
      <c r="J2" s="40"/>
    </row>
    <row r="3" spans="1:10" ht="16.5">
      <c r="A3" s="128" t="s">
        <v>311</v>
      </c>
      <c r="B3" s="104"/>
      <c r="C3" s="104"/>
      <c r="D3" s="104"/>
      <c r="E3" s="104"/>
      <c r="F3" s="104"/>
      <c r="G3" s="104"/>
      <c r="H3" s="104"/>
      <c r="I3" s="104"/>
      <c r="J3" s="104"/>
    </row>
    <row r="4" spans="1:10" ht="16.5">
      <c r="A4" s="8"/>
      <c r="B4" s="8"/>
      <c r="C4" s="8"/>
      <c r="D4" s="8"/>
      <c r="E4" s="8"/>
      <c r="F4" s="8"/>
      <c r="G4" s="8"/>
      <c r="H4" s="8"/>
      <c r="I4" s="8"/>
      <c r="J4" s="8"/>
    </row>
    <row r="5" spans="1:10" ht="17.25">
      <c r="A5" s="51" t="s">
        <v>312</v>
      </c>
      <c r="B5" s="51"/>
      <c r="C5" s="51"/>
      <c r="D5" s="51"/>
      <c r="E5" s="51"/>
      <c r="F5" s="51"/>
      <c r="G5" s="51"/>
      <c r="H5" s="51"/>
      <c r="I5" s="51"/>
      <c r="J5" s="51"/>
    </row>
    <row r="6" spans="1:10" ht="16.5">
      <c r="A6" s="8"/>
      <c r="B6" s="1"/>
      <c r="C6" s="1"/>
      <c r="D6" s="131" t="s">
        <v>316</v>
      </c>
      <c r="E6" s="131" t="s">
        <v>318</v>
      </c>
      <c r="F6" s="1" t="s">
        <v>319</v>
      </c>
      <c r="G6" s="1" t="s">
        <v>319</v>
      </c>
      <c r="H6" s="1" t="s">
        <v>87</v>
      </c>
      <c r="I6" s="1" t="s">
        <v>324</v>
      </c>
      <c r="J6" s="1" t="s">
        <v>323</v>
      </c>
    </row>
    <row r="7" spans="1:10" ht="16.5">
      <c r="A7" s="8"/>
      <c r="B7" s="132" t="s">
        <v>313</v>
      </c>
      <c r="C7" s="132"/>
      <c r="D7" s="133" t="s">
        <v>317</v>
      </c>
      <c r="E7" s="133" t="s">
        <v>129</v>
      </c>
      <c r="F7" s="132" t="s">
        <v>49</v>
      </c>
      <c r="G7" s="132" t="s">
        <v>320</v>
      </c>
      <c r="H7" s="132" t="s">
        <v>321</v>
      </c>
      <c r="I7" s="132" t="s">
        <v>322</v>
      </c>
      <c r="J7" s="132" t="s">
        <v>322</v>
      </c>
    </row>
    <row r="8" spans="1:10" ht="16.5">
      <c r="A8" s="8"/>
      <c r="B8" s="8" t="str">
        <f>Comps!D8</f>
        <v>Zydus Lifesciences Limited</v>
      </c>
      <c r="C8" s="8"/>
      <c r="D8" s="113">
        <f>Comps!G8</f>
        <v>865971.46499999997</v>
      </c>
      <c r="E8" s="113">
        <f>Comps!H8</f>
        <v>100496.74</v>
      </c>
      <c r="F8" s="80">
        <f>E8/D8</f>
        <v>0.1160508677962039</v>
      </c>
      <c r="G8" s="80">
        <f>E8/(D8+E8)</f>
        <v>0.10398349317658102</v>
      </c>
      <c r="H8" s="83">
        <f>'Comps Data'!K6</f>
        <v>0.253</v>
      </c>
      <c r="I8" s="8">
        <v>0.74</v>
      </c>
      <c r="J8" s="151">
        <f>I8/(1+F8*(1-H8))</f>
        <v>0.68096697420233776</v>
      </c>
    </row>
    <row r="9" spans="1:10" ht="16.5">
      <c r="A9" s="8"/>
      <c r="B9" s="8" t="str">
        <f>Comps!D9</f>
        <v>Torrent Pharmaceuticals Limited</v>
      </c>
      <c r="C9" s="8"/>
      <c r="D9" s="113">
        <f>Comps!G9</f>
        <v>1426422.075</v>
      </c>
      <c r="E9" s="113">
        <f>Comps!H9</f>
        <v>29431.18</v>
      </c>
      <c r="F9" s="80">
        <f t="shared" ref="F9:F14" si="0">E9/D9</f>
        <v>2.0632869131669881E-2</v>
      </c>
      <c r="G9" s="80">
        <f t="shared" ref="G9:G14" si="1">E9/(D9+E9)</f>
        <v>2.0215760001168526E-2</v>
      </c>
      <c r="H9" s="83">
        <f>'Comps Data'!K7</f>
        <v>0.245</v>
      </c>
      <c r="I9" s="8">
        <v>0.16</v>
      </c>
      <c r="J9" s="151">
        <f t="shared" ref="J9:J14" si="2">I9/(1+F9*(1-H9))</f>
        <v>0.15754578078473055</v>
      </c>
    </row>
    <row r="10" spans="1:10" ht="16.5">
      <c r="A10" s="8"/>
      <c r="B10" s="8" t="str">
        <f>Comps!D10</f>
        <v>Dr. Reddy's Laboratories Limited</v>
      </c>
      <c r="C10" s="8"/>
      <c r="D10" s="113">
        <f>Comps!G10</f>
        <v>1043248.8949999999</v>
      </c>
      <c r="E10" s="113">
        <f>Comps!H10</f>
        <v>70639.009999999995</v>
      </c>
      <c r="F10" s="80">
        <f t="shared" si="0"/>
        <v>6.7710601313409488E-2</v>
      </c>
      <c r="G10" s="80">
        <f t="shared" si="1"/>
        <v>6.3416623596429134E-2</v>
      </c>
      <c r="H10" s="83">
        <f>'Comps Data'!K8</f>
        <v>0.23</v>
      </c>
      <c r="I10" s="8">
        <v>0.12</v>
      </c>
      <c r="J10" s="151">
        <f t="shared" si="2"/>
        <v>0.11405357040763354</v>
      </c>
    </row>
    <row r="11" spans="1:10" ht="16.5">
      <c r="A11" s="8"/>
      <c r="B11" s="8" t="str">
        <f>Comps!D11</f>
        <v>Aurobindo Pharma Limited</v>
      </c>
      <c r="C11" s="8"/>
      <c r="D11" s="113">
        <f>Comps!G11</f>
        <v>743017.44</v>
      </c>
      <c r="E11" s="113">
        <f>Comps!H11</f>
        <v>81290.34</v>
      </c>
      <c r="F11" s="80">
        <f t="shared" si="0"/>
        <v>0.10940569578016904</v>
      </c>
      <c r="G11" s="80">
        <f t="shared" si="1"/>
        <v>9.8616490068794457E-2</v>
      </c>
      <c r="H11" s="83">
        <f>'Comps Data'!K9</f>
        <v>0.32400000000000001</v>
      </c>
      <c r="I11" s="8">
        <v>0.06</v>
      </c>
      <c r="J11" s="151">
        <f t="shared" si="2"/>
        <v>5.5868093550742536E-2</v>
      </c>
    </row>
    <row r="12" spans="1:10" ht="16.5">
      <c r="A12" s="8"/>
      <c r="B12" s="8" t="str">
        <f>Comps!D12</f>
        <v>Glenmark Pharmaceuticals Limited</v>
      </c>
      <c r="C12" s="8"/>
      <c r="D12" s="113">
        <f>Comps!G12</f>
        <v>587466.30000000005</v>
      </c>
      <c r="E12" s="113">
        <f>Comps!H12</f>
        <v>12767.18</v>
      </c>
      <c r="F12" s="80">
        <f t="shared" si="0"/>
        <v>2.1732616832659167E-2</v>
      </c>
      <c r="G12" s="80">
        <f t="shared" si="1"/>
        <v>2.1270356328673967E-2</v>
      </c>
      <c r="H12" s="83">
        <f>'Comps Data'!K10</f>
        <v>0.33600000000000002</v>
      </c>
      <c r="I12" s="8">
        <v>0.28999999999999998</v>
      </c>
      <c r="J12" s="151">
        <f t="shared" si="2"/>
        <v>0.28587469730818915</v>
      </c>
    </row>
    <row r="13" spans="1:10" ht="16.5">
      <c r="A13" s="8"/>
      <c r="B13" s="8" t="str">
        <f>Comps!D13</f>
        <v>Lupin Limited</v>
      </c>
      <c r="C13" s="8"/>
      <c r="D13" s="113">
        <f>Comps!G13</f>
        <v>1052577.0399999998</v>
      </c>
      <c r="E13" s="113">
        <f>Comps!H13</f>
        <v>64838.29</v>
      </c>
      <c r="F13" s="80">
        <f t="shared" si="0"/>
        <v>6.1599567096770433E-2</v>
      </c>
      <c r="G13" s="80">
        <f t="shared" si="1"/>
        <v>5.8025237581088143E-2</v>
      </c>
      <c r="H13" s="83">
        <f>'Comps Data'!K11</f>
        <v>0.20100000000000001</v>
      </c>
      <c r="I13" s="8">
        <v>0.31</v>
      </c>
      <c r="J13" s="151">
        <f t="shared" si="2"/>
        <v>0.29545812596873711</v>
      </c>
    </row>
    <row r="14" spans="1:10" ht="16.5">
      <c r="A14" s="8"/>
      <c r="B14" s="8" t="str">
        <f>Comps!D14</f>
        <v>Mankind Pharma Limited</v>
      </c>
      <c r="C14" s="8"/>
      <c r="D14" s="113">
        <f>Comps!G14</f>
        <v>793587.36</v>
      </c>
      <c r="E14" s="113">
        <f>Comps!H14</f>
        <v>87278.26</v>
      </c>
      <c r="F14" s="80">
        <f t="shared" si="0"/>
        <v>0.1099793978573449</v>
      </c>
      <c r="G14" s="80">
        <f t="shared" si="1"/>
        <v>9.9082377627588633E-2</v>
      </c>
      <c r="H14" s="83">
        <f>'Comps Data'!K12</f>
        <v>0.17399999999999999</v>
      </c>
      <c r="I14" s="8">
        <v>0.18</v>
      </c>
      <c r="J14" s="151">
        <f t="shared" si="2"/>
        <v>0.16500999948314848</v>
      </c>
    </row>
    <row r="15" spans="1:10" ht="16.5">
      <c r="A15" s="8"/>
      <c r="B15" s="129" t="s">
        <v>294</v>
      </c>
      <c r="C15" s="129"/>
      <c r="D15" s="129"/>
      <c r="E15" s="129"/>
      <c r="F15" s="134">
        <f>AVERAGE(F8:F14)</f>
        <v>7.2444516544032389E-2</v>
      </c>
      <c r="G15" s="134">
        <f t="shared" ref="G15:J15" si="3">AVERAGE(G8:G14)</f>
        <v>6.6372905482903408E-2</v>
      </c>
      <c r="H15" s="134">
        <f t="shared" si="3"/>
        <v>0.25185714285714289</v>
      </c>
      <c r="I15" s="149">
        <f t="shared" si="3"/>
        <v>0.26571428571428574</v>
      </c>
      <c r="J15" s="152">
        <f t="shared" si="3"/>
        <v>0.25068246310078846</v>
      </c>
    </row>
    <row r="16" spans="1:10" ht="16.5">
      <c r="A16" s="8"/>
      <c r="B16" s="130" t="s">
        <v>295</v>
      </c>
      <c r="C16" s="130"/>
      <c r="D16" s="130"/>
      <c r="E16" s="130"/>
      <c r="F16" s="135">
        <f>MEDIAN(F8:F14)</f>
        <v>6.7710601313409488E-2</v>
      </c>
      <c r="G16" s="135">
        <f t="shared" ref="G16:J16" si="4">MEDIAN(G8:G14)</f>
        <v>6.3416623596429134E-2</v>
      </c>
      <c r="H16" s="135">
        <f t="shared" si="4"/>
        <v>0.245</v>
      </c>
      <c r="I16" s="150">
        <f t="shared" si="4"/>
        <v>0.18</v>
      </c>
      <c r="J16" s="153">
        <f t="shared" si="4"/>
        <v>0.16500999948314848</v>
      </c>
    </row>
    <row r="17" spans="1:10" ht="16.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ht="16.5">
      <c r="A18" s="8"/>
      <c r="B18" s="136" t="s">
        <v>314</v>
      </c>
      <c r="C18" s="136"/>
      <c r="D18" s="137">
        <f>Comps!G19</f>
        <v>615413.76000000001</v>
      </c>
      <c r="E18" s="137">
        <f>Comps!H19</f>
        <v>24567.01</v>
      </c>
      <c r="F18" s="136"/>
      <c r="G18" s="136"/>
      <c r="H18" s="136"/>
      <c r="I18" s="136"/>
      <c r="J18" s="136"/>
    </row>
    <row r="19" spans="1:10" ht="16.5">
      <c r="A19" s="8"/>
      <c r="B19" s="8"/>
      <c r="C19" s="8"/>
      <c r="D19" s="8"/>
      <c r="E19" s="8"/>
      <c r="F19" s="8"/>
      <c r="G19" s="8"/>
      <c r="H19" s="8"/>
      <c r="I19" s="8"/>
      <c r="J19" s="8"/>
    </row>
    <row r="20" spans="1:10" ht="16.5">
      <c r="A20" s="104"/>
      <c r="B20" s="119" t="s">
        <v>315</v>
      </c>
      <c r="C20" s="104"/>
      <c r="D20" s="104"/>
      <c r="E20" s="104"/>
      <c r="F20" s="104"/>
      <c r="G20" s="104"/>
      <c r="H20" s="104"/>
      <c r="I20" s="104"/>
      <c r="J20" s="104"/>
    </row>
    <row r="21" spans="1:10" ht="16.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ht="16.5">
      <c r="A22" s="8"/>
      <c r="B22" s="138" t="s">
        <v>325</v>
      </c>
      <c r="C22" s="139"/>
      <c r="D22" s="139"/>
      <c r="E22" s="139"/>
      <c r="F22" s="139"/>
      <c r="G22" s="139"/>
      <c r="H22" s="139"/>
      <c r="I22" s="139"/>
      <c r="J22" s="139"/>
    </row>
    <row r="23" spans="1:10" ht="16.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ht="16.5">
      <c r="A24" s="8"/>
      <c r="B24" s="53" t="s">
        <v>326</v>
      </c>
      <c r="C24" s="53"/>
      <c r="D24" s="53"/>
      <c r="E24" s="53"/>
      <c r="F24" s="53"/>
      <c r="G24" s="53"/>
      <c r="H24" s="53"/>
      <c r="I24" s="53"/>
      <c r="J24" s="141">
        <f>G15</f>
        <v>6.6372905482903408E-2</v>
      </c>
    </row>
    <row r="25" spans="1:10" ht="16.5">
      <c r="A25" s="8"/>
      <c r="B25" s="8" t="s">
        <v>327</v>
      </c>
      <c r="C25" s="8"/>
      <c r="D25" s="8"/>
      <c r="E25" s="8"/>
      <c r="F25" s="8"/>
      <c r="G25" s="8"/>
      <c r="H25" s="8"/>
      <c r="I25" s="8"/>
      <c r="J25" s="142">
        <f>1-J24</f>
        <v>0.93362709451709658</v>
      </c>
    </row>
    <row r="26" spans="1:10" ht="16.5">
      <c r="A26" s="8"/>
      <c r="B26" s="140" t="s">
        <v>328</v>
      </c>
      <c r="C26" s="140"/>
      <c r="D26" s="140"/>
      <c r="E26" s="140"/>
      <c r="F26" s="140"/>
      <c r="G26" s="140"/>
      <c r="H26" s="140"/>
      <c r="I26" s="140"/>
      <c r="J26" s="140"/>
    </row>
    <row r="27" spans="1:10" ht="16.5">
      <c r="A27" s="8"/>
      <c r="B27" s="8" t="s">
        <v>261</v>
      </c>
      <c r="C27" s="8"/>
      <c r="D27" s="8"/>
      <c r="E27" s="8"/>
      <c r="F27" s="8"/>
      <c r="G27" s="8"/>
      <c r="H27" s="8"/>
      <c r="I27" s="8"/>
      <c r="J27" s="113">
        <f>D18</f>
        <v>615413.76000000001</v>
      </c>
    </row>
    <row r="28" spans="1:10" ht="16.5">
      <c r="A28" s="8"/>
      <c r="B28" s="8" t="s">
        <v>275</v>
      </c>
      <c r="C28" s="8"/>
      <c r="D28" s="8"/>
      <c r="E28" s="8"/>
      <c r="F28" s="8"/>
      <c r="G28" s="8"/>
      <c r="H28" s="8"/>
      <c r="I28" s="8"/>
      <c r="J28" s="113">
        <f>E18</f>
        <v>24567.01</v>
      </c>
    </row>
    <row r="29" spans="1:10" ht="16.5">
      <c r="A29" s="8"/>
      <c r="B29" s="8" t="s">
        <v>329</v>
      </c>
      <c r="C29" s="8"/>
      <c r="D29" s="8"/>
      <c r="E29" s="8"/>
      <c r="F29" s="8"/>
      <c r="G29" s="8"/>
      <c r="H29" s="8"/>
      <c r="I29" s="8"/>
      <c r="J29" s="80">
        <f>J28/J27</f>
        <v>3.991950066244862E-2</v>
      </c>
    </row>
    <row r="30" spans="1:10" ht="16.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ht="16.5">
      <c r="A31" s="8"/>
      <c r="B31" s="140" t="s">
        <v>330</v>
      </c>
      <c r="C31" s="140"/>
      <c r="D31" s="140"/>
      <c r="E31" s="140"/>
      <c r="F31" s="140"/>
      <c r="G31" s="140"/>
      <c r="H31" s="140"/>
      <c r="I31" s="140"/>
      <c r="J31" s="140"/>
    </row>
    <row r="32" spans="1:10" ht="16.5">
      <c r="A32" s="8"/>
      <c r="B32" s="8" t="s">
        <v>331</v>
      </c>
      <c r="C32" s="8"/>
      <c r="D32" s="8"/>
      <c r="E32" s="8"/>
      <c r="F32" s="8"/>
      <c r="G32" s="8"/>
      <c r="H32" s="8"/>
      <c r="I32" s="8"/>
      <c r="J32" s="143">
        <f>Model!M112</f>
        <v>5.8936421794836005E-2</v>
      </c>
    </row>
    <row r="33" spans="1:10" ht="16.5">
      <c r="A33" s="8"/>
      <c r="B33" s="8" t="s">
        <v>332</v>
      </c>
      <c r="C33" s="8"/>
      <c r="D33" s="8"/>
      <c r="E33" s="8"/>
      <c r="F33" s="8"/>
      <c r="G33" s="8"/>
      <c r="H33" s="8"/>
      <c r="I33" s="8"/>
      <c r="J33" s="143">
        <f>'Comps Data'!K4</f>
        <v>0.14799999999999999</v>
      </c>
    </row>
    <row r="34" spans="1:10" ht="16.5">
      <c r="A34" s="8"/>
      <c r="B34" s="55" t="s">
        <v>333</v>
      </c>
      <c r="C34" s="55"/>
      <c r="D34" s="55"/>
      <c r="E34" s="55"/>
      <c r="F34" s="55"/>
      <c r="G34" s="55"/>
      <c r="H34" s="55"/>
      <c r="I34" s="55"/>
      <c r="J34" s="144">
        <f>J32*(1-J33)</f>
        <v>5.0213831369200275E-2</v>
      </c>
    </row>
    <row r="35" spans="1:10" ht="16.5">
      <c r="A35" s="8"/>
      <c r="B35" s="8"/>
      <c r="C35" s="8"/>
      <c r="D35" s="8"/>
      <c r="E35" s="8"/>
      <c r="F35" s="8"/>
      <c r="G35" s="8"/>
      <c r="H35" s="8"/>
      <c r="I35" s="8"/>
      <c r="J35" s="8"/>
    </row>
    <row r="36" spans="1:10" ht="16.5">
      <c r="A36" s="8"/>
      <c r="B36" s="145" t="s">
        <v>334</v>
      </c>
      <c r="C36" s="146"/>
      <c r="D36" s="146"/>
      <c r="E36" s="146"/>
      <c r="F36" s="146"/>
      <c r="G36" s="146"/>
      <c r="H36" s="146"/>
      <c r="I36" s="146"/>
      <c r="J36" s="146"/>
    </row>
    <row r="37" spans="1:10" ht="16.5">
      <c r="A37" s="8"/>
      <c r="B37" s="8" t="s">
        <v>335</v>
      </c>
      <c r="C37" s="8"/>
      <c r="D37" s="8"/>
      <c r="E37" s="8"/>
      <c r="F37" s="8"/>
      <c r="G37" s="8"/>
      <c r="H37" s="8"/>
      <c r="I37" s="8"/>
      <c r="J37" s="83">
        <v>6.8199999999999997E-2</v>
      </c>
    </row>
    <row r="38" spans="1:10" ht="16.5">
      <c r="A38" s="8"/>
      <c r="B38" s="8" t="s">
        <v>336</v>
      </c>
      <c r="C38" s="8"/>
      <c r="D38" s="8"/>
      <c r="E38" s="8"/>
      <c r="F38" s="8"/>
      <c r="G38" s="8"/>
      <c r="H38" s="8"/>
      <c r="I38" s="8"/>
      <c r="J38" s="83">
        <f>'Market Data'!H7</f>
        <v>0.11416173257322959</v>
      </c>
    </row>
    <row r="39" spans="1:10" ht="16.5">
      <c r="A39" s="8"/>
      <c r="B39" s="8" t="s">
        <v>337</v>
      </c>
      <c r="C39" s="8"/>
      <c r="D39" s="8"/>
      <c r="E39" s="8"/>
      <c r="F39" s="8"/>
      <c r="G39" s="8"/>
      <c r="H39" s="8"/>
      <c r="I39" s="8"/>
      <c r="J39" s="83">
        <f>J38-J37</f>
        <v>4.5961732573229594E-2</v>
      </c>
    </row>
    <row r="40" spans="1:10" ht="16.5">
      <c r="A40" s="8"/>
      <c r="B40" s="8" t="s">
        <v>338</v>
      </c>
      <c r="C40" s="8"/>
      <c r="D40" s="8"/>
      <c r="E40" s="8"/>
      <c r="F40" s="8"/>
      <c r="G40" s="8"/>
      <c r="H40" s="8"/>
      <c r="I40" s="8"/>
      <c r="J40" s="120">
        <f>J16*(1+J29*(1-J33))</f>
        <v>0.1706222229828423</v>
      </c>
    </row>
    <row r="41" spans="1:10" ht="16.5">
      <c r="A41" s="8"/>
      <c r="B41" s="55" t="s">
        <v>334</v>
      </c>
      <c r="C41" s="53"/>
      <c r="D41" s="53"/>
      <c r="E41" s="53"/>
      <c r="F41" s="53"/>
      <c r="G41" s="53"/>
      <c r="H41" s="53"/>
      <c r="I41" s="53"/>
      <c r="J41" s="141">
        <f>J37+J39*J40</f>
        <v>7.6042092983787335E-2</v>
      </c>
    </row>
    <row r="42" spans="1:10" ht="16.5">
      <c r="A42" s="8"/>
      <c r="B42" s="8"/>
      <c r="C42" s="8"/>
      <c r="D42" s="8"/>
      <c r="E42" s="8"/>
      <c r="F42" s="8"/>
      <c r="G42" s="8"/>
      <c r="H42" s="8"/>
      <c r="I42" s="8"/>
      <c r="J42" s="8"/>
    </row>
    <row r="43" spans="1:10" ht="16.5">
      <c r="A43" s="8"/>
      <c r="B43" s="147" t="s">
        <v>339</v>
      </c>
      <c r="C43" s="147"/>
      <c r="D43" s="147"/>
      <c r="E43" s="147"/>
      <c r="F43" s="147"/>
      <c r="G43" s="147"/>
      <c r="H43" s="147"/>
      <c r="I43" s="147"/>
      <c r="J43" s="148">
        <f>(J34*J24)+(J41*J25)</f>
        <v>7.4327796216854647E-2</v>
      </c>
    </row>
    <row r="44" spans="1:10" ht="16.5">
      <c r="A44" s="8"/>
      <c r="B44" s="8"/>
      <c r="C44" s="8"/>
      <c r="D44" s="8"/>
      <c r="E44" s="8"/>
      <c r="F44" s="8"/>
      <c r="G44" s="8"/>
      <c r="H44" s="8"/>
      <c r="I44" s="8"/>
      <c r="J44" s="8"/>
    </row>
    <row r="45" spans="1:10" ht="16.5">
      <c r="A45" s="8"/>
      <c r="B45" s="8"/>
      <c r="C45" s="8"/>
      <c r="D45" s="8"/>
      <c r="E45" s="8"/>
      <c r="F45" s="8"/>
      <c r="G45" s="8"/>
      <c r="H45" s="8"/>
      <c r="I45" s="8"/>
      <c r="J45" s="8"/>
    </row>
    <row r="46" spans="1:10" ht="16.5">
      <c r="A46" s="8"/>
      <c r="B46" s="8"/>
      <c r="C46" s="8"/>
      <c r="D46" s="8"/>
      <c r="E46" s="8"/>
      <c r="F46" s="8"/>
      <c r="G46" s="8"/>
      <c r="H46" s="8"/>
      <c r="I46" s="8"/>
      <c r="J46" s="8"/>
    </row>
    <row r="47" spans="1:10" ht="16.5">
      <c r="A47" s="8"/>
      <c r="B47" s="8"/>
      <c r="C47" s="8"/>
      <c r="D47" s="8"/>
      <c r="E47" s="8"/>
      <c r="F47" s="8"/>
      <c r="G47" s="8"/>
      <c r="H47" s="8"/>
      <c r="I47" s="8"/>
      <c r="J47" s="8"/>
    </row>
    <row r="48" spans="1:10" ht="16.5">
      <c r="A48" s="8"/>
      <c r="B48" s="8"/>
      <c r="C48" s="8"/>
      <c r="D48" s="8"/>
      <c r="E48" s="8"/>
      <c r="F48" s="8"/>
      <c r="G48" s="8"/>
      <c r="H48" s="8"/>
      <c r="I48" s="8"/>
      <c r="J48" s="8"/>
    </row>
    <row r="49" spans="1:10" ht="16.5">
      <c r="A49" s="8"/>
      <c r="B49" s="8"/>
      <c r="C49" s="8"/>
      <c r="D49" s="8"/>
      <c r="E49" s="8"/>
      <c r="F49" s="8"/>
      <c r="G49" s="8"/>
      <c r="H49" s="8"/>
      <c r="I49" s="8"/>
      <c r="J49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DAF8C-238E-4633-8D27-5E60B0E3FCAA}">
  <dimension ref="A1:Q103"/>
  <sheetViews>
    <sheetView showGridLines="0" workbookViewId="0">
      <selection sqref="A1:J2"/>
    </sheetView>
  </sheetViews>
  <sheetFormatPr defaultRowHeight="15"/>
  <cols>
    <col min="1" max="1" width="1.7109375" customWidth="1"/>
    <col min="2" max="2" width="10.42578125" bestFit="1" customWidth="1"/>
    <col min="3" max="3" width="12.7109375" customWidth="1"/>
    <col min="4" max="4" width="12.140625" customWidth="1"/>
    <col min="5" max="5" width="13.7109375" customWidth="1"/>
    <col min="6" max="6" width="12.42578125" customWidth="1"/>
    <col min="9" max="9" width="18" bestFit="1" customWidth="1"/>
    <col min="10" max="10" width="12" bestFit="1" customWidth="1"/>
    <col min="11" max="11" width="14.5703125" bestFit="1" customWidth="1"/>
    <col min="12" max="13" width="12" bestFit="1" customWidth="1"/>
    <col min="14" max="14" width="13.42578125" bestFit="1" customWidth="1"/>
    <col min="15" max="15" width="12" bestFit="1" customWidth="1"/>
    <col min="16" max="16" width="12.7109375" bestFit="1" customWidth="1"/>
    <col min="17" max="17" width="12.5703125" bestFit="1" customWidth="1"/>
  </cols>
  <sheetData>
    <row r="1" spans="1:10" ht="35.25">
      <c r="A1" s="45" t="str">
        <f>Sheet1!B1</f>
        <v>Alkem Laboratories Ltd</v>
      </c>
      <c r="B1" s="46"/>
      <c r="C1" s="46"/>
      <c r="D1" s="46"/>
      <c r="E1" s="46"/>
      <c r="F1" s="46"/>
      <c r="G1" s="40"/>
      <c r="H1" s="40"/>
      <c r="I1" s="40"/>
      <c r="J1" s="40"/>
    </row>
    <row r="2" spans="1:10" ht="18.75">
      <c r="A2" s="86" t="s">
        <v>340</v>
      </c>
      <c r="B2" s="48"/>
      <c r="C2" s="47"/>
      <c r="D2" s="47"/>
      <c r="E2" s="47"/>
      <c r="F2" s="47"/>
      <c r="G2" s="40"/>
      <c r="H2" s="40"/>
      <c r="I2" s="40"/>
      <c r="J2" s="40"/>
    </row>
    <row r="3" spans="1:10" ht="16.5">
      <c r="A3" s="8"/>
      <c r="B3" s="8"/>
      <c r="C3" s="8"/>
      <c r="D3" s="8"/>
      <c r="E3" s="8"/>
      <c r="F3" s="8"/>
      <c r="G3" s="8"/>
      <c r="H3" s="8"/>
      <c r="I3" s="8"/>
      <c r="J3" s="8"/>
    </row>
    <row r="4" spans="1:10" ht="16.5">
      <c r="A4" s="8"/>
      <c r="B4" s="119"/>
      <c r="C4" s="119" t="s">
        <v>304</v>
      </c>
      <c r="D4" s="119" t="s">
        <v>342</v>
      </c>
      <c r="E4" s="119" t="s">
        <v>344</v>
      </c>
      <c r="F4" s="119" t="s">
        <v>345</v>
      </c>
      <c r="G4" s="119"/>
      <c r="H4" s="119"/>
      <c r="I4" s="119"/>
      <c r="J4" s="119"/>
    </row>
    <row r="5" spans="1:10" ht="16.5">
      <c r="A5" s="8"/>
      <c r="B5" s="119" t="s">
        <v>305</v>
      </c>
      <c r="C5" s="119" t="s">
        <v>341</v>
      </c>
      <c r="D5" s="119" t="s">
        <v>343</v>
      </c>
      <c r="E5" s="119" t="s">
        <v>341</v>
      </c>
      <c r="F5" s="119" t="s">
        <v>343</v>
      </c>
      <c r="G5" s="119"/>
      <c r="H5" s="119"/>
      <c r="I5" s="119"/>
      <c r="J5" s="119"/>
    </row>
    <row r="6" spans="1:10" ht="16.5">
      <c r="A6" s="8"/>
      <c r="B6" s="122">
        <v>46082</v>
      </c>
      <c r="C6" s="114">
        <v>23034.6</v>
      </c>
      <c r="D6" s="8"/>
      <c r="E6" s="114">
        <v>5247.5</v>
      </c>
      <c r="F6" s="8"/>
      <c r="G6" s="8"/>
      <c r="H6" s="8"/>
      <c r="I6" s="8"/>
      <c r="J6" s="8"/>
    </row>
    <row r="7" spans="1:10" ht="16.5">
      <c r="A7" s="8"/>
      <c r="B7" s="122">
        <v>46054</v>
      </c>
      <c r="C7" s="114">
        <v>25178.65</v>
      </c>
      <c r="D7" s="80">
        <f>C7/C6-1</f>
        <v>9.3079541211916084E-2</v>
      </c>
      <c r="E7" s="114">
        <v>5639.5</v>
      </c>
      <c r="F7" s="80">
        <f>E7/E6-1</f>
        <v>7.4702239161505535E-2</v>
      </c>
      <c r="G7" s="8"/>
      <c r="H7" s="8"/>
      <c r="I7" s="1" t="s">
        <v>370</v>
      </c>
      <c r="J7" s="154">
        <f>SLOPE(F7:F77,D7:D77)</f>
        <v>0.76991992666399967</v>
      </c>
    </row>
    <row r="8" spans="1:10" ht="16.5">
      <c r="A8" s="8"/>
      <c r="B8" s="122">
        <v>46023</v>
      </c>
      <c r="C8" s="114">
        <v>25320.65</v>
      </c>
      <c r="D8" s="80">
        <f t="shared" ref="D8:D71" si="0">C8/C7-1</f>
        <v>5.6396987129969656E-3</v>
      </c>
      <c r="E8" s="114">
        <v>5677.5</v>
      </c>
      <c r="F8" s="80">
        <f t="shared" ref="F8:F71" si="1">E8/E7-1</f>
        <v>6.7381860093980173E-3</v>
      </c>
      <c r="G8" s="8"/>
      <c r="H8" s="8"/>
      <c r="I8" s="1" t="s">
        <v>371</v>
      </c>
      <c r="J8" s="154">
        <f>J29</f>
        <v>0.76991992666399922</v>
      </c>
    </row>
    <row r="9" spans="1:10" ht="16.5">
      <c r="A9" s="8"/>
      <c r="B9" s="122">
        <v>45992</v>
      </c>
      <c r="C9" s="114">
        <v>26129.599999999999</v>
      </c>
      <c r="D9" s="80">
        <f t="shared" si="0"/>
        <v>3.1948231976667074E-2</v>
      </c>
      <c r="E9" s="114">
        <v>5506.5</v>
      </c>
      <c r="F9" s="80">
        <f t="shared" si="1"/>
        <v>-3.0118890356671035E-2</v>
      </c>
      <c r="G9" s="8"/>
      <c r="H9" s="8"/>
      <c r="I9" s="8"/>
      <c r="J9" s="8"/>
    </row>
    <row r="10" spans="1:10" ht="16.5">
      <c r="A10" s="8"/>
      <c r="B10" s="122">
        <v>45962</v>
      </c>
      <c r="C10" s="114">
        <v>26202.95</v>
      </c>
      <c r="D10" s="80">
        <f t="shared" si="0"/>
        <v>2.8071612271141078E-3</v>
      </c>
      <c r="E10" s="114">
        <v>5685</v>
      </c>
      <c r="F10" s="80">
        <f t="shared" si="1"/>
        <v>3.2416235358212919E-2</v>
      </c>
      <c r="G10" s="8"/>
      <c r="H10" s="8"/>
      <c r="I10" s="8"/>
      <c r="J10" s="8"/>
    </row>
    <row r="11" spans="1:10" ht="16.5">
      <c r="A11" s="8"/>
      <c r="B11" s="122">
        <v>45931</v>
      </c>
      <c r="C11" s="114">
        <v>25722.1</v>
      </c>
      <c r="D11" s="80">
        <f t="shared" si="0"/>
        <v>-1.835098719800643E-2</v>
      </c>
      <c r="E11" s="114">
        <v>5506.5</v>
      </c>
      <c r="F11" s="80">
        <f t="shared" si="1"/>
        <v>-3.1398416886543545E-2</v>
      </c>
      <c r="G11" s="8"/>
      <c r="H11" s="8"/>
      <c r="I11" s="8"/>
      <c r="J11" s="8"/>
    </row>
    <row r="12" spans="1:10" ht="16.5">
      <c r="A12" s="8"/>
      <c r="B12" s="122">
        <v>45901</v>
      </c>
      <c r="C12" s="114">
        <v>24611.1</v>
      </c>
      <c r="D12" s="80">
        <f t="shared" si="0"/>
        <v>-4.3192429856038217E-2</v>
      </c>
      <c r="E12" s="114">
        <v>5425</v>
      </c>
      <c r="F12" s="80">
        <f t="shared" si="1"/>
        <v>-1.4800690093525803E-2</v>
      </c>
      <c r="G12" s="8"/>
      <c r="H12" s="8"/>
      <c r="I12" t="s">
        <v>346</v>
      </c>
    </row>
    <row r="13" spans="1:10" ht="17.25" thickBot="1">
      <c r="A13" s="8"/>
      <c r="B13" s="122">
        <v>45870</v>
      </c>
      <c r="C13" s="114">
        <v>24426.85</v>
      </c>
      <c r="D13" s="80">
        <f t="shared" si="0"/>
        <v>-7.4864593618326758E-3</v>
      </c>
      <c r="E13" s="114">
        <v>5303.5</v>
      </c>
      <c r="F13" s="80">
        <f t="shared" si="1"/>
        <v>-2.2396313364055342E-2</v>
      </c>
      <c r="G13" s="8"/>
      <c r="H13" s="8"/>
    </row>
    <row r="14" spans="1:10" ht="16.5">
      <c r="A14" s="8"/>
      <c r="B14" s="122">
        <v>45839</v>
      </c>
      <c r="C14" s="114">
        <v>24768.35</v>
      </c>
      <c r="D14" s="80">
        <f t="shared" si="0"/>
        <v>1.3980517340549392E-2</v>
      </c>
      <c r="E14" s="114">
        <v>5031.1000000000004</v>
      </c>
      <c r="F14" s="80">
        <f t="shared" si="1"/>
        <v>-5.136230790987073E-2</v>
      </c>
      <c r="G14" s="8"/>
      <c r="H14" s="8"/>
      <c r="I14" s="158" t="s">
        <v>347</v>
      </c>
      <c r="J14" s="158"/>
    </row>
    <row r="15" spans="1:10" ht="16.5">
      <c r="A15" s="8"/>
      <c r="B15" s="122">
        <v>45809</v>
      </c>
      <c r="C15" s="114">
        <v>25517.05</v>
      </c>
      <c r="D15" s="80">
        <f t="shared" si="0"/>
        <v>3.0228093514505394E-2</v>
      </c>
      <c r="E15" s="114">
        <v>4939</v>
      </c>
      <c r="F15" s="80">
        <f t="shared" si="1"/>
        <v>-1.8306135835105763E-2</v>
      </c>
      <c r="G15" s="8"/>
      <c r="H15" s="8"/>
      <c r="I15" s="155" t="s">
        <v>348</v>
      </c>
      <c r="J15" s="155">
        <v>0.45475660680153662</v>
      </c>
    </row>
    <row r="16" spans="1:10" ht="16.5">
      <c r="A16" s="8"/>
      <c r="B16" s="122">
        <v>45778</v>
      </c>
      <c r="C16" s="114">
        <v>24750.7</v>
      </c>
      <c r="D16" s="80">
        <f t="shared" si="0"/>
        <v>-3.0032860381587922E-2</v>
      </c>
      <c r="E16" s="114">
        <v>5098.5</v>
      </c>
      <c r="F16" s="80">
        <f t="shared" si="1"/>
        <v>3.2293986636971139E-2</v>
      </c>
      <c r="G16" s="8"/>
      <c r="H16" s="8"/>
      <c r="I16" s="155" t="s">
        <v>349</v>
      </c>
      <c r="J16" s="155">
        <v>0.20680357142964736</v>
      </c>
    </row>
    <row r="17" spans="1:17" ht="16.5">
      <c r="A17" s="8"/>
      <c r="B17" s="122">
        <v>45748</v>
      </c>
      <c r="C17" s="114">
        <v>24334.2</v>
      </c>
      <c r="D17" s="80">
        <f t="shared" si="0"/>
        <v>-1.682780689031016E-2</v>
      </c>
      <c r="E17" s="114">
        <v>5116</v>
      </c>
      <c r="F17" s="80">
        <f t="shared" si="1"/>
        <v>3.4323820731587684E-3</v>
      </c>
      <c r="G17" s="8"/>
      <c r="H17" s="8"/>
      <c r="I17" s="155" t="s">
        <v>350</v>
      </c>
      <c r="J17" s="155">
        <v>0.19530797101558428</v>
      </c>
    </row>
    <row r="18" spans="1:17" ht="16.5">
      <c r="A18" s="8"/>
      <c r="B18" s="122">
        <v>45717</v>
      </c>
      <c r="C18" s="114">
        <v>23519.35</v>
      </c>
      <c r="D18" s="80">
        <f t="shared" si="0"/>
        <v>-3.3485793656664375E-2</v>
      </c>
      <c r="E18" s="114">
        <v>4881.7</v>
      </c>
      <c r="F18" s="80">
        <f t="shared" si="1"/>
        <v>-4.579749804534794E-2</v>
      </c>
      <c r="G18" s="8"/>
      <c r="H18" s="8"/>
      <c r="I18" s="155" t="s">
        <v>351</v>
      </c>
      <c r="J18" s="155">
        <v>5.9588525377233789E-2</v>
      </c>
    </row>
    <row r="19" spans="1:17" ht="17.25" thickBot="1">
      <c r="A19" s="8"/>
      <c r="B19" s="122">
        <v>45689</v>
      </c>
      <c r="C19" s="114">
        <v>22124.7</v>
      </c>
      <c r="D19" s="80">
        <f t="shared" si="0"/>
        <v>-5.9297982299680863E-2</v>
      </c>
      <c r="E19" s="114">
        <v>4646.2</v>
      </c>
      <c r="F19" s="80">
        <f t="shared" si="1"/>
        <v>-4.8241391318598059E-2</v>
      </c>
      <c r="G19" s="8"/>
      <c r="H19" s="8"/>
      <c r="I19" s="156" t="s">
        <v>352</v>
      </c>
      <c r="J19" s="156">
        <v>71</v>
      </c>
    </row>
    <row r="20" spans="1:17" ht="16.5">
      <c r="A20" s="8"/>
      <c r="B20" s="122">
        <v>45658</v>
      </c>
      <c r="C20" s="114">
        <v>23508.400000000001</v>
      </c>
      <c r="D20" s="80">
        <f t="shared" si="0"/>
        <v>6.2540961007380824E-2</v>
      </c>
      <c r="E20" s="114">
        <v>5063.05</v>
      </c>
      <c r="F20" s="80">
        <f t="shared" si="1"/>
        <v>8.9718479617752145E-2</v>
      </c>
      <c r="G20" s="8"/>
      <c r="H20" s="8"/>
    </row>
    <row r="21" spans="1:17" ht="17.25" thickBot="1">
      <c r="A21" s="8"/>
      <c r="B21" s="122">
        <v>45627</v>
      </c>
      <c r="C21" s="114">
        <v>23644.799999999999</v>
      </c>
      <c r="D21" s="80">
        <f t="shared" si="0"/>
        <v>5.8021813479436357E-3</v>
      </c>
      <c r="E21" s="114">
        <v>5633.9</v>
      </c>
      <c r="F21" s="80">
        <f t="shared" si="1"/>
        <v>0.11274824463515065</v>
      </c>
      <c r="G21" s="8"/>
      <c r="H21" s="8"/>
      <c r="I21" t="s">
        <v>353</v>
      </c>
    </row>
    <row r="22" spans="1:17" ht="16.5">
      <c r="A22" s="8"/>
      <c r="B22" s="122">
        <v>45597</v>
      </c>
      <c r="C22" s="114">
        <v>24131.1</v>
      </c>
      <c r="D22" s="80">
        <f t="shared" si="0"/>
        <v>2.0566889971579405E-2</v>
      </c>
      <c r="E22" s="114">
        <v>5642.45</v>
      </c>
      <c r="F22" s="80">
        <f t="shared" si="1"/>
        <v>1.5175988214204406E-3</v>
      </c>
      <c r="G22" s="8"/>
      <c r="H22" s="8"/>
      <c r="I22" s="157"/>
      <c r="J22" s="157" t="s">
        <v>357</v>
      </c>
      <c r="K22" s="157" t="s">
        <v>358</v>
      </c>
      <c r="L22" s="157" t="s">
        <v>359</v>
      </c>
      <c r="M22" s="157" t="s">
        <v>360</v>
      </c>
      <c r="N22" s="157" t="s">
        <v>361</v>
      </c>
    </row>
    <row r="23" spans="1:17" ht="16.5">
      <c r="A23" s="8"/>
      <c r="B23" s="122">
        <v>45566</v>
      </c>
      <c r="C23" s="114">
        <v>24205.35</v>
      </c>
      <c r="D23" s="80">
        <f t="shared" si="0"/>
        <v>3.0769422032148608E-3</v>
      </c>
      <c r="E23" s="114">
        <v>5779.25</v>
      </c>
      <c r="F23" s="80">
        <f t="shared" si="1"/>
        <v>2.4244787282120317E-2</v>
      </c>
      <c r="G23" s="8"/>
      <c r="H23" s="8"/>
      <c r="I23" s="155" t="s">
        <v>354</v>
      </c>
      <c r="J23" s="155">
        <v>1</v>
      </c>
      <c r="K23" s="155">
        <v>6.3878050237247713E-2</v>
      </c>
      <c r="L23" s="155">
        <v>6.3878050237247713E-2</v>
      </c>
      <c r="M23" s="155">
        <v>17.989801661569178</v>
      </c>
      <c r="N23" s="155">
        <v>6.7736875973806055E-5</v>
      </c>
    </row>
    <row r="24" spans="1:17" ht="16.5">
      <c r="A24" s="8"/>
      <c r="B24" s="122">
        <v>45536</v>
      </c>
      <c r="C24" s="114">
        <v>25810.85</v>
      </c>
      <c r="D24" s="80">
        <f t="shared" si="0"/>
        <v>6.6328311716211452E-2</v>
      </c>
      <c r="E24" s="114">
        <v>6052.8</v>
      </c>
      <c r="F24" s="80">
        <f t="shared" si="1"/>
        <v>4.7333131461694933E-2</v>
      </c>
      <c r="G24" s="8"/>
      <c r="H24" s="8"/>
      <c r="I24" s="155" t="s">
        <v>355</v>
      </c>
      <c r="J24" s="155">
        <v>69</v>
      </c>
      <c r="K24" s="155">
        <v>0.24500467260769324</v>
      </c>
      <c r="L24" s="155">
        <v>3.5507923566332352E-3</v>
      </c>
      <c r="M24" s="155"/>
      <c r="N24" s="155"/>
    </row>
    <row r="25" spans="1:17" ht="17.25" thickBot="1">
      <c r="A25" s="8"/>
      <c r="B25" s="122">
        <v>45505</v>
      </c>
      <c r="C25" s="114">
        <v>25235.9</v>
      </c>
      <c r="D25" s="80">
        <f t="shared" si="0"/>
        <v>-2.2275515916755806E-2</v>
      </c>
      <c r="E25" s="114">
        <v>6170.35</v>
      </c>
      <c r="F25" s="80">
        <f t="shared" si="1"/>
        <v>1.9420763943959862E-2</v>
      </c>
      <c r="G25" s="8"/>
      <c r="H25" s="8"/>
      <c r="I25" s="156" t="s">
        <v>217</v>
      </c>
      <c r="J25" s="156">
        <v>70</v>
      </c>
      <c r="K25" s="156">
        <v>0.30888272284494095</v>
      </c>
      <c r="L25" s="156"/>
      <c r="M25" s="156"/>
      <c r="N25" s="156"/>
    </row>
    <row r="26" spans="1:17" ht="17.25" thickBot="1">
      <c r="A26" s="8"/>
      <c r="B26" s="122">
        <v>45474</v>
      </c>
      <c r="C26" s="114">
        <v>24951.15</v>
      </c>
      <c r="D26" s="80">
        <f t="shared" si="0"/>
        <v>-1.1283528623904804E-2</v>
      </c>
      <c r="E26" s="114">
        <v>5309.5</v>
      </c>
      <c r="F26" s="80">
        <f t="shared" si="1"/>
        <v>-0.13951396598248078</v>
      </c>
      <c r="G26" s="8"/>
      <c r="H26" s="8"/>
    </row>
    <row r="27" spans="1:17" ht="16.5">
      <c r="A27" s="8"/>
      <c r="B27" s="122">
        <v>45444</v>
      </c>
      <c r="C27" s="114">
        <v>24010.6</v>
      </c>
      <c r="D27" s="80">
        <f t="shared" si="0"/>
        <v>-3.7695657314392395E-2</v>
      </c>
      <c r="E27" s="114">
        <v>4991.3500000000004</v>
      </c>
      <c r="F27" s="80">
        <f t="shared" si="1"/>
        <v>-5.9920896506262311E-2</v>
      </c>
      <c r="G27" s="8"/>
      <c r="H27" s="8"/>
      <c r="I27" s="157"/>
      <c r="J27" s="157" t="s">
        <v>362</v>
      </c>
      <c r="K27" s="157" t="s">
        <v>351</v>
      </c>
      <c r="L27" s="157" t="s">
        <v>363</v>
      </c>
      <c r="M27" s="157" t="s">
        <v>364</v>
      </c>
      <c r="N27" s="157" t="s">
        <v>365</v>
      </c>
      <c r="O27" s="157" t="s">
        <v>366</v>
      </c>
      <c r="P27" s="157" t="s">
        <v>367</v>
      </c>
      <c r="Q27" s="157" t="s">
        <v>368</v>
      </c>
    </row>
    <row r="28" spans="1:17" ht="16.5">
      <c r="A28" s="8"/>
      <c r="B28" s="122">
        <v>45413</v>
      </c>
      <c r="C28" s="114">
        <v>22530.7</v>
      </c>
      <c r="D28" s="80">
        <f t="shared" si="0"/>
        <v>-6.1635277752326023E-2</v>
      </c>
      <c r="E28" s="114">
        <v>4810.45</v>
      </c>
      <c r="F28" s="80">
        <f t="shared" si="1"/>
        <v>-3.6242699870776551E-2</v>
      </c>
      <c r="G28" s="8"/>
      <c r="H28" s="8"/>
      <c r="I28" s="155" t="s">
        <v>356</v>
      </c>
      <c r="J28" s="155">
        <v>8.2461464898243159E-4</v>
      </c>
      <c r="K28" s="155">
        <v>7.3539094524326491E-3</v>
      </c>
      <c r="L28" s="155">
        <v>0.11213282599089547</v>
      </c>
      <c r="M28" s="155">
        <v>0.91104366565521633</v>
      </c>
      <c r="N28" s="155">
        <v>-1.3846033296261844E-2</v>
      </c>
      <c r="O28" s="155">
        <v>1.5495262594226707E-2</v>
      </c>
      <c r="P28" s="155">
        <v>-1.3846033296261844E-2</v>
      </c>
      <c r="Q28" s="155">
        <v>1.5495262594226707E-2</v>
      </c>
    </row>
    <row r="29" spans="1:17" ht="17.25" thickBot="1">
      <c r="A29" s="8"/>
      <c r="B29" s="122">
        <v>45383</v>
      </c>
      <c r="C29" s="114">
        <v>22604.85</v>
      </c>
      <c r="D29" s="80">
        <f t="shared" si="0"/>
        <v>3.2910650800905827E-3</v>
      </c>
      <c r="E29" s="114">
        <v>4833.05</v>
      </c>
      <c r="F29" s="80">
        <f t="shared" si="1"/>
        <v>4.6981051668764096E-3</v>
      </c>
      <c r="G29" s="8"/>
      <c r="H29" s="8"/>
      <c r="I29" s="156" t="s">
        <v>369</v>
      </c>
      <c r="J29" s="156">
        <v>0.76991992666399922</v>
      </c>
      <c r="K29" s="156">
        <v>0.18152329754690699</v>
      </c>
      <c r="L29" s="156">
        <v>4.2414386311214187</v>
      </c>
      <c r="M29" s="156">
        <v>6.773687597380783E-5</v>
      </c>
      <c r="N29" s="156">
        <v>0.40779085648765062</v>
      </c>
      <c r="O29" s="156">
        <v>1.1320489968403478</v>
      </c>
      <c r="P29" s="156">
        <v>0.40779085648765062</v>
      </c>
      <c r="Q29" s="156">
        <v>1.1320489968403478</v>
      </c>
    </row>
    <row r="30" spans="1:17" ht="16.5">
      <c r="A30" s="8"/>
      <c r="B30" s="122">
        <v>45352</v>
      </c>
      <c r="C30" s="114">
        <v>22326.9</v>
      </c>
      <c r="D30" s="80">
        <f t="shared" si="0"/>
        <v>-1.2296033815751839E-2</v>
      </c>
      <c r="E30" s="114">
        <v>4942</v>
      </c>
      <c r="F30" s="80">
        <f t="shared" si="1"/>
        <v>2.2542700779011104E-2</v>
      </c>
      <c r="G30" s="8"/>
      <c r="H30" s="8"/>
    </row>
    <row r="31" spans="1:17" ht="16.5">
      <c r="A31" s="8"/>
      <c r="B31" s="122">
        <v>45323</v>
      </c>
      <c r="C31" s="114">
        <v>21982.799999999999</v>
      </c>
      <c r="D31" s="80">
        <f t="shared" si="0"/>
        <v>-1.5411902234524377E-2</v>
      </c>
      <c r="E31" s="114">
        <v>5127.3500000000004</v>
      </c>
      <c r="F31" s="80">
        <f t="shared" si="1"/>
        <v>3.7505058680696202E-2</v>
      </c>
      <c r="G31" s="8"/>
      <c r="H31" s="8"/>
    </row>
    <row r="32" spans="1:17" ht="16.5">
      <c r="A32" s="8"/>
      <c r="B32" s="122">
        <v>45292</v>
      </c>
      <c r="C32" s="114">
        <v>21725.7</v>
      </c>
      <c r="D32" s="80">
        <f t="shared" si="0"/>
        <v>-1.1695507396691895E-2</v>
      </c>
      <c r="E32" s="114">
        <v>4996.05</v>
      </c>
      <c r="F32" s="80">
        <f t="shared" si="1"/>
        <v>-2.5607770095663507E-2</v>
      </c>
      <c r="G32" s="8"/>
      <c r="H32" s="8"/>
    </row>
    <row r="33" spans="1:10" ht="16.5">
      <c r="A33" s="8"/>
      <c r="B33" s="122">
        <v>45261</v>
      </c>
      <c r="C33" s="114">
        <v>21731.4</v>
      </c>
      <c r="D33" s="80">
        <f t="shared" si="0"/>
        <v>2.6236208729746302E-4</v>
      </c>
      <c r="E33" s="114">
        <v>5202.6000000000004</v>
      </c>
      <c r="F33" s="80">
        <f t="shared" si="1"/>
        <v>4.134266070195447E-2</v>
      </c>
      <c r="G33" s="8"/>
      <c r="H33" s="8"/>
      <c r="I33" s="8"/>
      <c r="J33" s="8"/>
    </row>
    <row r="34" spans="1:10" ht="16.5">
      <c r="A34" s="8"/>
      <c r="B34" s="122">
        <v>45231</v>
      </c>
      <c r="C34" s="114">
        <v>20133.150000000001</v>
      </c>
      <c r="D34" s="80">
        <f t="shared" si="0"/>
        <v>-7.3545652834147823E-2</v>
      </c>
      <c r="E34" s="114">
        <v>4723.55</v>
      </c>
      <c r="F34" s="80">
        <f t="shared" si="1"/>
        <v>-9.2078960519740183E-2</v>
      </c>
      <c r="G34" s="8"/>
      <c r="H34" s="8"/>
      <c r="I34" s="8"/>
      <c r="J34" s="8"/>
    </row>
    <row r="35" spans="1:10" ht="16.5">
      <c r="A35" s="8"/>
      <c r="B35" s="122">
        <v>45200</v>
      </c>
      <c r="C35" s="114">
        <v>19079.599999999999</v>
      </c>
      <c r="D35" s="80">
        <f t="shared" si="0"/>
        <v>-5.2329118890983461E-2</v>
      </c>
      <c r="E35" s="114">
        <v>3721.85</v>
      </c>
      <c r="F35" s="80">
        <f t="shared" si="1"/>
        <v>-0.21206507817213749</v>
      </c>
      <c r="G35" s="8"/>
      <c r="H35" s="8"/>
      <c r="I35" s="8"/>
      <c r="J35" s="8"/>
    </row>
    <row r="36" spans="1:10" ht="16.5">
      <c r="A36" s="8"/>
      <c r="B36" s="122">
        <v>45170</v>
      </c>
      <c r="C36" s="114">
        <v>19638.3</v>
      </c>
      <c r="D36" s="80">
        <f t="shared" si="0"/>
        <v>2.9282584540556433E-2</v>
      </c>
      <c r="E36" s="114">
        <v>3605.9</v>
      </c>
      <c r="F36" s="80">
        <f t="shared" si="1"/>
        <v>-3.1153861654822146E-2</v>
      </c>
      <c r="G36" s="8"/>
      <c r="H36" s="8"/>
      <c r="I36" s="8"/>
      <c r="J36" s="8"/>
    </row>
    <row r="37" spans="1:10" ht="16.5">
      <c r="A37" s="8"/>
      <c r="B37" s="122">
        <v>45139</v>
      </c>
      <c r="C37" s="114">
        <v>19253.8</v>
      </c>
      <c r="D37" s="80">
        <f t="shared" si="0"/>
        <v>-1.9579087802915729E-2</v>
      </c>
      <c r="E37" s="114">
        <v>3642.85</v>
      </c>
      <c r="F37" s="80">
        <f t="shared" si="1"/>
        <v>1.0247095038686593E-2</v>
      </c>
      <c r="G37" s="8"/>
      <c r="H37" s="8"/>
      <c r="I37" s="8"/>
      <c r="J37" s="8"/>
    </row>
    <row r="38" spans="1:10" ht="16.5">
      <c r="A38" s="8"/>
      <c r="B38" s="122">
        <v>45108</v>
      </c>
      <c r="C38" s="114">
        <v>19753.8</v>
      </c>
      <c r="D38" s="80">
        <f t="shared" si="0"/>
        <v>2.5968899645784305E-2</v>
      </c>
      <c r="E38" s="114">
        <v>3978.75</v>
      </c>
      <c r="F38" s="80">
        <f t="shared" si="1"/>
        <v>9.2208023937301764E-2</v>
      </c>
      <c r="G38" s="8"/>
      <c r="H38" s="8"/>
      <c r="I38" s="8"/>
      <c r="J38" s="8"/>
    </row>
    <row r="39" spans="1:10" ht="16.5">
      <c r="A39" s="8"/>
      <c r="B39" s="122">
        <v>45078</v>
      </c>
      <c r="C39" s="114">
        <v>19189.05</v>
      </c>
      <c r="D39" s="80">
        <f t="shared" si="0"/>
        <v>-2.8589435956626108E-2</v>
      </c>
      <c r="E39" s="114">
        <v>3512.85</v>
      </c>
      <c r="F39" s="80">
        <f t="shared" si="1"/>
        <v>-0.11709707822808668</v>
      </c>
      <c r="G39" s="8"/>
      <c r="H39" s="8"/>
      <c r="I39" s="8"/>
      <c r="J39" s="8"/>
    </row>
    <row r="40" spans="1:10" ht="16.5">
      <c r="A40" s="8"/>
      <c r="B40" s="122">
        <v>45047</v>
      </c>
      <c r="C40" s="114">
        <v>18534.400000000001</v>
      </c>
      <c r="D40" s="80">
        <f t="shared" si="0"/>
        <v>-3.4115810840036231E-2</v>
      </c>
      <c r="E40" s="114">
        <v>3359.6</v>
      </c>
      <c r="F40" s="80">
        <f t="shared" si="1"/>
        <v>-4.3625546208918675E-2</v>
      </c>
      <c r="G40" s="8"/>
      <c r="H40" s="8"/>
      <c r="I40" s="8"/>
      <c r="J40" s="8"/>
    </row>
    <row r="41" spans="1:10" ht="16.5">
      <c r="A41" s="8"/>
      <c r="B41" s="122">
        <v>45017</v>
      </c>
      <c r="C41" s="114">
        <v>18065</v>
      </c>
      <c r="D41" s="80">
        <f t="shared" si="0"/>
        <v>-2.5325880524861955E-2</v>
      </c>
      <c r="E41" s="114">
        <v>3509.9</v>
      </c>
      <c r="F41" s="80">
        <f t="shared" si="1"/>
        <v>4.4737468746279374E-2</v>
      </c>
      <c r="G41" s="8"/>
      <c r="H41" s="8"/>
      <c r="I41" s="8"/>
      <c r="J41" s="8"/>
    </row>
    <row r="42" spans="1:10" ht="16.5">
      <c r="A42" s="8"/>
      <c r="B42" s="122">
        <v>44986</v>
      </c>
      <c r="C42" s="114">
        <v>17359.75</v>
      </c>
      <c r="D42" s="80">
        <f t="shared" si="0"/>
        <v>-3.9039579296983096E-2</v>
      </c>
      <c r="E42" s="114">
        <v>3396.1</v>
      </c>
      <c r="F42" s="80">
        <f t="shared" si="1"/>
        <v>-3.2422576141770465E-2</v>
      </c>
      <c r="G42" s="8"/>
      <c r="H42" s="8"/>
      <c r="I42" s="8"/>
      <c r="J42" s="8"/>
    </row>
    <row r="43" spans="1:10" ht="16.5">
      <c r="A43" s="8"/>
      <c r="B43" s="122">
        <v>44958</v>
      </c>
      <c r="C43" s="114">
        <v>17303.95</v>
      </c>
      <c r="D43" s="80">
        <f t="shared" si="0"/>
        <v>-3.2143320036290834E-3</v>
      </c>
      <c r="E43" s="114">
        <v>3175</v>
      </c>
      <c r="F43" s="80">
        <f t="shared" si="1"/>
        <v>-6.5104089985571711E-2</v>
      </c>
      <c r="G43" s="8"/>
      <c r="H43" s="8"/>
      <c r="I43" s="8"/>
      <c r="J43" s="8"/>
    </row>
    <row r="44" spans="1:10" ht="16.5">
      <c r="A44" s="8"/>
      <c r="B44" s="122">
        <v>44927</v>
      </c>
      <c r="C44" s="114">
        <v>17662.150000000001</v>
      </c>
      <c r="D44" s="80">
        <f t="shared" si="0"/>
        <v>2.0700475902900806E-2</v>
      </c>
      <c r="E44" s="114">
        <v>2988.54</v>
      </c>
      <c r="F44" s="80">
        <f t="shared" si="1"/>
        <v>-5.8727559055118173E-2</v>
      </c>
      <c r="G44" s="8"/>
      <c r="H44" s="8"/>
      <c r="I44" s="8"/>
      <c r="J44" s="8"/>
    </row>
    <row r="45" spans="1:10" ht="16.5">
      <c r="A45" s="8"/>
      <c r="B45" s="122">
        <v>44896</v>
      </c>
      <c r="C45" s="114">
        <v>18105.3</v>
      </c>
      <c r="D45" s="80">
        <f t="shared" si="0"/>
        <v>2.5090376879371767E-2</v>
      </c>
      <c r="E45" s="114">
        <v>2981.99</v>
      </c>
      <c r="F45" s="80">
        <f t="shared" si="1"/>
        <v>-2.1917056489122455E-3</v>
      </c>
      <c r="G45" s="8"/>
      <c r="H45" s="8"/>
      <c r="I45" s="8"/>
      <c r="J45" s="8"/>
    </row>
    <row r="46" spans="1:10" ht="16.5">
      <c r="A46" s="8"/>
      <c r="B46" s="122">
        <v>44866</v>
      </c>
      <c r="C46" s="114">
        <v>18758.349999999999</v>
      </c>
      <c r="D46" s="80">
        <f t="shared" si="0"/>
        <v>3.6069548695685683E-2</v>
      </c>
      <c r="E46" s="114">
        <v>3100.59</v>
      </c>
      <c r="F46" s="80">
        <f t="shared" si="1"/>
        <v>3.9772098497983022E-2</v>
      </c>
      <c r="G46" s="8"/>
      <c r="H46" s="8"/>
      <c r="I46" s="8"/>
      <c r="J46" s="8"/>
    </row>
    <row r="47" spans="1:10" ht="16.5">
      <c r="A47" s="8"/>
      <c r="B47" s="122">
        <v>44835</v>
      </c>
      <c r="C47" s="114">
        <v>18012.2</v>
      </c>
      <c r="D47" s="80">
        <f t="shared" si="0"/>
        <v>-3.9776952663746923E-2</v>
      </c>
      <c r="E47" s="114">
        <v>3131.35</v>
      </c>
      <c r="F47" s="80">
        <f t="shared" si="1"/>
        <v>9.920692513360363E-3</v>
      </c>
      <c r="G47" s="8"/>
      <c r="H47" s="8"/>
      <c r="I47" s="8"/>
      <c r="J47" s="8"/>
    </row>
    <row r="48" spans="1:10" ht="16.5">
      <c r="A48" s="8"/>
      <c r="B48" s="122">
        <v>44805</v>
      </c>
      <c r="C48" s="114">
        <v>17094.349999999999</v>
      </c>
      <c r="D48" s="80">
        <f t="shared" si="0"/>
        <v>-5.0957129056972583E-2</v>
      </c>
      <c r="E48" s="114">
        <v>3252.43</v>
      </c>
      <c r="F48" s="80">
        <f t="shared" si="1"/>
        <v>3.8667028597889175E-2</v>
      </c>
      <c r="G48" s="8"/>
      <c r="H48" s="8"/>
      <c r="I48" s="8"/>
      <c r="J48" s="8"/>
    </row>
    <row r="49" spans="1:10" ht="16.5">
      <c r="A49" s="8"/>
      <c r="B49" s="122">
        <v>44774</v>
      </c>
      <c r="C49" s="114">
        <v>17759.3</v>
      </c>
      <c r="D49" s="80">
        <f t="shared" si="0"/>
        <v>3.8898817445530254E-2</v>
      </c>
      <c r="E49" s="114">
        <v>2952.17</v>
      </c>
      <c r="F49" s="80">
        <f t="shared" si="1"/>
        <v>-9.2318666351005163E-2</v>
      </c>
      <c r="G49" s="8"/>
      <c r="H49" s="8"/>
      <c r="I49" s="8"/>
      <c r="J49" s="8"/>
    </row>
    <row r="50" spans="1:10" ht="16.5">
      <c r="A50" s="8"/>
      <c r="B50" s="122">
        <v>44743</v>
      </c>
      <c r="C50" s="114">
        <v>17158.25</v>
      </c>
      <c r="D50" s="80">
        <f t="shared" si="0"/>
        <v>-3.3844239356280892E-2</v>
      </c>
      <c r="E50" s="114">
        <v>3200.77</v>
      </c>
      <c r="F50" s="80">
        <f t="shared" si="1"/>
        <v>8.4209242692663278E-2</v>
      </c>
      <c r="G50" s="8"/>
      <c r="H50" s="8"/>
      <c r="I50" s="8"/>
      <c r="J50" s="8"/>
    </row>
    <row r="51" spans="1:10" ht="16.5">
      <c r="A51" s="8"/>
      <c r="B51" s="122">
        <v>44713</v>
      </c>
      <c r="C51" s="114">
        <v>15780.25</v>
      </c>
      <c r="D51" s="80">
        <f t="shared" si="0"/>
        <v>-8.0311220549881268E-2</v>
      </c>
      <c r="E51" s="114">
        <v>2975.89</v>
      </c>
      <c r="F51" s="80">
        <f t="shared" si="1"/>
        <v>-7.0258094146096184E-2</v>
      </c>
      <c r="G51" s="8"/>
      <c r="H51" s="8"/>
      <c r="I51" s="8"/>
      <c r="J51" s="8"/>
    </row>
    <row r="52" spans="1:10" ht="16.5">
      <c r="A52" s="8"/>
      <c r="B52" s="122">
        <v>44682</v>
      </c>
      <c r="C52" s="114">
        <v>16584.55</v>
      </c>
      <c r="D52" s="80">
        <f t="shared" si="0"/>
        <v>5.0968774258962846E-2</v>
      </c>
      <c r="E52" s="114">
        <v>3125.25</v>
      </c>
      <c r="F52" s="80">
        <f t="shared" si="1"/>
        <v>5.0190027185144759E-2</v>
      </c>
      <c r="G52" s="8"/>
      <c r="H52" s="8"/>
      <c r="I52" s="8"/>
      <c r="J52" s="8"/>
    </row>
    <row r="53" spans="1:10" ht="16.5">
      <c r="A53" s="8"/>
      <c r="B53" s="122">
        <v>44652</v>
      </c>
      <c r="C53" s="114">
        <v>17102.55</v>
      </c>
      <c r="D53" s="80">
        <f t="shared" si="0"/>
        <v>3.1233889372940471E-2</v>
      </c>
      <c r="E53" s="114">
        <v>3225.83</v>
      </c>
      <c r="F53" s="80">
        <f t="shared" si="1"/>
        <v>3.2183025357971351E-2</v>
      </c>
      <c r="G53" s="8"/>
      <c r="H53" s="8"/>
      <c r="I53" s="8"/>
      <c r="J53" s="8"/>
    </row>
    <row r="54" spans="1:10" ht="16.5">
      <c r="A54" s="8"/>
      <c r="B54" s="122">
        <v>44621</v>
      </c>
      <c r="C54" s="114">
        <v>17464.75</v>
      </c>
      <c r="D54" s="80">
        <f t="shared" si="0"/>
        <v>2.1178128407752128E-2</v>
      </c>
      <c r="E54" s="114">
        <v>3593.33</v>
      </c>
      <c r="F54" s="80">
        <f t="shared" si="1"/>
        <v>0.113924168353571</v>
      </c>
      <c r="G54" s="8"/>
      <c r="H54" s="8"/>
      <c r="I54" s="8"/>
      <c r="J54" s="8"/>
    </row>
    <row r="55" spans="1:10" ht="16.5">
      <c r="A55" s="8"/>
      <c r="B55" s="122">
        <v>44593</v>
      </c>
      <c r="C55" s="114">
        <v>16793.900000000001</v>
      </c>
      <c r="D55" s="80">
        <f t="shared" si="0"/>
        <v>-3.841165776778932E-2</v>
      </c>
      <c r="E55" s="114">
        <v>3253.18</v>
      </c>
      <c r="F55" s="80">
        <f t="shared" si="1"/>
        <v>-9.466149783070299E-2</v>
      </c>
      <c r="G55" s="8"/>
      <c r="H55" s="8"/>
      <c r="I55" s="8"/>
      <c r="J55" s="8"/>
    </row>
    <row r="56" spans="1:10" ht="16.5">
      <c r="A56" s="8"/>
      <c r="B56" s="122">
        <v>44562</v>
      </c>
      <c r="C56" s="114">
        <v>17339.849999999999</v>
      </c>
      <c r="D56" s="80">
        <f t="shared" si="0"/>
        <v>3.2508827610024937E-2</v>
      </c>
      <c r="E56" s="114">
        <v>3512.4</v>
      </c>
      <c r="F56" s="80">
        <f t="shared" si="1"/>
        <v>7.9682034194234586E-2</v>
      </c>
      <c r="G56" s="8"/>
      <c r="H56" s="8"/>
      <c r="I56" s="8"/>
      <c r="J56" s="8"/>
    </row>
    <row r="57" spans="1:10" ht="16.5">
      <c r="A57" s="8"/>
      <c r="B57" s="122">
        <v>44531</v>
      </c>
      <c r="C57" s="114">
        <v>17354.05</v>
      </c>
      <c r="D57" s="80">
        <f t="shared" si="0"/>
        <v>8.189228857227171E-4</v>
      </c>
      <c r="E57" s="114">
        <v>3596.66</v>
      </c>
      <c r="F57" s="80">
        <f t="shared" si="1"/>
        <v>2.3989295068898686E-2</v>
      </c>
      <c r="G57" s="8"/>
      <c r="H57" s="8"/>
      <c r="I57" s="8"/>
      <c r="J57" s="8"/>
    </row>
    <row r="58" spans="1:10" ht="16.5">
      <c r="A58" s="8"/>
      <c r="B58" s="122">
        <v>44501</v>
      </c>
      <c r="C58" s="114">
        <v>16983.2</v>
      </c>
      <c r="D58" s="80">
        <f t="shared" si="0"/>
        <v>-2.1369651464643646E-2</v>
      </c>
      <c r="E58" s="114">
        <v>3566.29</v>
      </c>
      <c r="F58" s="80">
        <f t="shared" si="1"/>
        <v>-8.4439452158391326E-3</v>
      </c>
      <c r="G58" s="8"/>
      <c r="H58" s="8"/>
      <c r="I58" s="8"/>
      <c r="J58" s="8"/>
    </row>
    <row r="59" spans="1:10" ht="16.5">
      <c r="A59" s="8"/>
      <c r="B59" s="122">
        <v>44470</v>
      </c>
      <c r="C59" s="114">
        <v>17671.650000000001</v>
      </c>
      <c r="D59" s="80">
        <f t="shared" si="0"/>
        <v>4.0537119035281899E-2</v>
      </c>
      <c r="E59" s="114">
        <v>3583.36</v>
      </c>
      <c r="F59" s="80">
        <f t="shared" si="1"/>
        <v>4.7864867972038372E-3</v>
      </c>
      <c r="G59" s="8"/>
      <c r="H59" s="8"/>
      <c r="I59" s="8"/>
      <c r="J59" s="8"/>
    </row>
    <row r="60" spans="1:10" ht="16.5">
      <c r="A60" s="8"/>
      <c r="B60" s="122">
        <v>44440</v>
      </c>
      <c r="C60" s="114">
        <v>17618.150000000001</v>
      </c>
      <c r="D60" s="80">
        <f t="shared" si="0"/>
        <v>-3.0274479179929203E-3</v>
      </c>
      <c r="E60" s="114">
        <v>3950.66</v>
      </c>
      <c r="F60" s="80">
        <f t="shared" si="1"/>
        <v>0.10250156277906752</v>
      </c>
      <c r="G60" s="8"/>
      <c r="H60" s="8"/>
      <c r="I60" s="8"/>
      <c r="J60" s="8"/>
    </row>
    <row r="61" spans="1:10" ht="16.5">
      <c r="A61" s="8"/>
      <c r="B61" s="122">
        <v>44409</v>
      </c>
      <c r="C61" s="114">
        <v>17132.2</v>
      </c>
      <c r="D61" s="80">
        <f t="shared" si="0"/>
        <v>-2.7582351154917029E-2</v>
      </c>
      <c r="E61" s="114">
        <v>3849.29</v>
      </c>
      <c r="F61" s="80">
        <f t="shared" si="1"/>
        <v>-2.5659003812021242E-2</v>
      </c>
      <c r="G61" s="8"/>
      <c r="H61" s="8"/>
      <c r="I61" s="8"/>
      <c r="J61" s="8"/>
    </row>
    <row r="62" spans="1:10" ht="16.5">
      <c r="A62" s="8"/>
      <c r="B62" s="122">
        <v>44378</v>
      </c>
      <c r="C62" s="114">
        <v>15763.05</v>
      </c>
      <c r="D62" s="80">
        <f t="shared" si="0"/>
        <v>-7.9916764922193351E-2</v>
      </c>
      <c r="E62" s="114">
        <v>3427.5</v>
      </c>
      <c r="F62" s="80">
        <f t="shared" si="1"/>
        <v>-0.10957605168745399</v>
      </c>
      <c r="G62" s="8"/>
      <c r="H62" s="8"/>
      <c r="I62" s="8"/>
      <c r="J62" s="8"/>
    </row>
    <row r="63" spans="1:10" ht="16.5">
      <c r="A63" s="8"/>
      <c r="B63" s="122">
        <v>44348</v>
      </c>
      <c r="C63" s="114">
        <v>15721.5</v>
      </c>
      <c r="D63" s="80">
        <f t="shared" si="0"/>
        <v>-2.6359111973888183E-3</v>
      </c>
      <c r="E63" s="114">
        <v>3175.17</v>
      </c>
      <c r="F63" s="80">
        <f t="shared" si="1"/>
        <v>-7.3619256017505408E-2</v>
      </c>
      <c r="G63" s="8"/>
      <c r="H63" s="8"/>
      <c r="I63" s="8"/>
      <c r="J63" s="8"/>
    </row>
    <row r="64" spans="1:10" ht="16.5">
      <c r="A64" s="8"/>
      <c r="B64" s="122">
        <v>44317</v>
      </c>
      <c r="C64" s="114">
        <v>15582.8</v>
      </c>
      <c r="D64" s="80">
        <f t="shared" si="0"/>
        <v>-8.8223133924880681E-3</v>
      </c>
      <c r="E64" s="114">
        <v>2966.61</v>
      </c>
      <c r="F64" s="80">
        <f t="shared" si="1"/>
        <v>-6.5684672001814048E-2</v>
      </c>
      <c r="G64" s="8"/>
      <c r="H64" s="8"/>
      <c r="I64" s="8"/>
      <c r="J64" s="8"/>
    </row>
    <row r="65" spans="1:10" ht="16.5">
      <c r="A65" s="8"/>
      <c r="B65" s="122">
        <v>44287</v>
      </c>
      <c r="C65" s="114">
        <v>14631.1</v>
      </c>
      <c r="D65" s="80">
        <f t="shared" si="0"/>
        <v>-6.1073747978540371E-2</v>
      </c>
      <c r="E65" s="114">
        <v>2738.2</v>
      </c>
      <c r="F65" s="80">
        <f t="shared" si="1"/>
        <v>-7.6993605495835449E-2</v>
      </c>
      <c r="G65" s="8"/>
      <c r="H65" s="8"/>
      <c r="I65" s="8"/>
      <c r="J65" s="8"/>
    </row>
    <row r="66" spans="1:10" ht="16.5">
      <c r="A66" s="8"/>
      <c r="B66" s="122">
        <v>44256</v>
      </c>
      <c r="C66" s="114">
        <v>14690.7</v>
      </c>
      <c r="D66" s="80">
        <f t="shared" si="0"/>
        <v>4.0735146366301933E-3</v>
      </c>
      <c r="E66" s="114">
        <v>2748.87</v>
      </c>
      <c r="F66" s="80">
        <f t="shared" si="1"/>
        <v>3.8967204733035832E-3</v>
      </c>
      <c r="G66" s="8"/>
      <c r="H66" s="8"/>
      <c r="I66" s="8"/>
      <c r="J66" s="8"/>
    </row>
    <row r="67" spans="1:10" ht="16.5">
      <c r="A67" s="8"/>
      <c r="B67" s="122">
        <v>44228</v>
      </c>
      <c r="C67" s="114">
        <v>14529.15</v>
      </c>
      <c r="D67" s="80">
        <f t="shared" si="0"/>
        <v>-1.0996753047846641E-2</v>
      </c>
      <c r="E67" s="114">
        <v>2701.48</v>
      </c>
      <c r="F67" s="80">
        <f t="shared" si="1"/>
        <v>-1.7239811267902749E-2</v>
      </c>
      <c r="G67" s="8"/>
      <c r="H67" s="8"/>
      <c r="I67" s="8"/>
      <c r="J67" s="8"/>
    </row>
    <row r="68" spans="1:10" ht="16.5">
      <c r="A68" s="8"/>
      <c r="B68" s="122">
        <v>44197</v>
      </c>
      <c r="C68" s="114">
        <v>13634.6</v>
      </c>
      <c r="D68" s="80">
        <f t="shared" si="0"/>
        <v>-6.156932786845748E-2</v>
      </c>
      <c r="E68" s="114">
        <v>2984.22</v>
      </c>
      <c r="F68" s="80">
        <f t="shared" si="1"/>
        <v>0.10466114870367349</v>
      </c>
      <c r="G68" s="8"/>
      <c r="H68" s="8"/>
      <c r="I68" s="8"/>
      <c r="J68" s="8"/>
    </row>
    <row r="69" spans="1:10" ht="16.5">
      <c r="A69" s="8"/>
      <c r="B69" s="122">
        <v>44166</v>
      </c>
      <c r="C69" s="114">
        <v>13981.75</v>
      </c>
      <c r="D69" s="80">
        <f t="shared" si="0"/>
        <v>2.5460959617443768E-2</v>
      </c>
      <c r="E69" s="114">
        <v>2904.08</v>
      </c>
      <c r="F69" s="80">
        <f t="shared" si="1"/>
        <v>-2.6854588468678497E-2</v>
      </c>
      <c r="G69" s="8"/>
      <c r="H69" s="8"/>
      <c r="I69" s="8"/>
      <c r="J69" s="8"/>
    </row>
    <row r="70" spans="1:10" ht="16.5">
      <c r="A70" s="8"/>
      <c r="B70" s="122">
        <v>44136</v>
      </c>
      <c r="C70" s="114">
        <v>12968.95</v>
      </c>
      <c r="D70" s="80">
        <f t="shared" si="0"/>
        <v>-7.2437284317056094E-2</v>
      </c>
      <c r="E70" s="114">
        <v>2820.17</v>
      </c>
      <c r="F70" s="80">
        <f t="shared" si="1"/>
        <v>-2.8893832125836738E-2</v>
      </c>
      <c r="G70" s="8"/>
      <c r="H70" s="8"/>
      <c r="I70" s="8"/>
      <c r="J70" s="8"/>
    </row>
    <row r="71" spans="1:10" ht="16.5">
      <c r="A71" s="8"/>
      <c r="B71" s="122">
        <v>44105</v>
      </c>
      <c r="C71" s="114">
        <v>11642.4</v>
      </c>
      <c r="D71" s="80">
        <f t="shared" si="0"/>
        <v>-0.10228661533894423</v>
      </c>
      <c r="E71" s="114">
        <v>2614.39</v>
      </c>
      <c r="F71" s="80">
        <f t="shared" si="1"/>
        <v>-7.2967232471801369E-2</v>
      </c>
      <c r="G71" s="8"/>
      <c r="H71" s="8"/>
      <c r="I71" s="8"/>
      <c r="J71" s="8"/>
    </row>
    <row r="72" spans="1:10" ht="16.5">
      <c r="A72" s="8"/>
      <c r="B72" s="122">
        <v>44075</v>
      </c>
      <c r="C72" s="114">
        <v>11247.55</v>
      </c>
      <c r="D72" s="80">
        <f t="shared" ref="D72:D77" si="2">C72/C71-1</f>
        <v>-3.3914828557685683E-2</v>
      </c>
      <c r="E72" s="114">
        <v>2756.95</v>
      </c>
      <c r="F72" s="80">
        <f t="shared" ref="F72:F77" si="3">E72/E71-1</f>
        <v>5.4528972341540527E-2</v>
      </c>
      <c r="G72" s="8"/>
      <c r="H72" s="8"/>
      <c r="I72" s="8"/>
      <c r="J72" s="8"/>
    </row>
    <row r="73" spans="1:10" ht="16.5">
      <c r="A73" s="8"/>
      <c r="B73" s="122">
        <v>44044</v>
      </c>
      <c r="C73" s="114">
        <v>11387.5</v>
      </c>
      <c r="D73" s="80">
        <f t="shared" si="2"/>
        <v>1.2442709745678071E-2</v>
      </c>
      <c r="E73" s="114">
        <v>2702.12</v>
      </c>
      <c r="F73" s="80">
        <f t="shared" si="3"/>
        <v>-1.9887919621320638E-2</v>
      </c>
      <c r="G73" s="8"/>
      <c r="H73" s="8"/>
      <c r="I73" s="8"/>
      <c r="J73" s="8"/>
    </row>
    <row r="74" spans="1:10" ht="16.5">
      <c r="A74" s="8"/>
      <c r="B74" s="122">
        <v>44013</v>
      </c>
      <c r="C74" s="114">
        <v>11073.45</v>
      </c>
      <c r="D74" s="80">
        <f t="shared" si="2"/>
        <v>-2.7578485181119605E-2</v>
      </c>
      <c r="E74" s="114">
        <v>2641.98</v>
      </c>
      <c r="F74" s="80">
        <f t="shared" si="3"/>
        <v>-2.2256598522641391E-2</v>
      </c>
      <c r="G74" s="8"/>
      <c r="H74" s="8"/>
      <c r="I74" s="8"/>
      <c r="J74" s="8"/>
    </row>
    <row r="75" spans="1:10" ht="16.5">
      <c r="A75" s="8"/>
      <c r="B75" s="122">
        <v>43983</v>
      </c>
      <c r="C75" s="114">
        <v>10302.1</v>
      </c>
      <c r="D75" s="80">
        <f t="shared" si="2"/>
        <v>-6.9657604450284238E-2</v>
      </c>
      <c r="E75" s="114">
        <v>2350.4</v>
      </c>
      <c r="F75" s="80">
        <f t="shared" si="3"/>
        <v>-0.11036419654955754</v>
      </c>
      <c r="G75" s="8"/>
      <c r="H75" s="8"/>
      <c r="I75" s="8"/>
      <c r="J75" s="8"/>
    </row>
    <row r="76" spans="1:10" ht="16.5">
      <c r="A76" s="8"/>
      <c r="B76" s="122">
        <v>43952</v>
      </c>
      <c r="C76" s="114">
        <v>9580.2999999999993</v>
      </c>
      <c r="D76" s="80">
        <f t="shared" si="2"/>
        <v>-7.00633851350696E-2</v>
      </c>
      <c r="E76" s="114">
        <v>2245.8000000000002</v>
      </c>
      <c r="F76" s="80">
        <f t="shared" si="3"/>
        <v>-4.4503063308372948E-2</v>
      </c>
      <c r="G76" s="8"/>
      <c r="H76" s="8"/>
      <c r="I76" s="8"/>
      <c r="J76" s="8"/>
    </row>
    <row r="77" spans="1:10" ht="16.5">
      <c r="A77" s="8"/>
      <c r="B77" s="122">
        <v>43922</v>
      </c>
      <c r="C77" s="114">
        <v>9859.9</v>
      </c>
      <c r="D77" s="80">
        <f t="shared" si="2"/>
        <v>2.9184889825997207E-2</v>
      </c>
      <c r="E77" s="114">
        <v>2579.75</v>
      </c>
      <c r="F77" s="80">
        <f>E77/E76-1</f>
        <v>0.14869979517321208</v>
      </c>
      <c r="G77" s="8"/>
      <c r="H77" s="8"/>
      <c r="I77" s="8"/>
      <c r="J77" s="8"/>
    </row>
    <row r="78" spans="1:10" ht="16.5">
      <c r="A78" s="8"/>
      <c r="B78" s="8"/>
      <c r="C78" s="8"/>
      <c r="D78" s="8"/>
      <c r="E78" s="8"/>
      <c r="F78" s="8"/>
      <c r="G78" s="8"/>
      <c r="H78" s="8"/>
      <c r="I78" s="8"/>
      <c r="J78" s="8"/>
    </row>
    <row r="79" spans="1:10" ht="16.5">
      <c r="A79" s="8"/>
      <c r="B79" s="8"/>
      <c r="C79" s="8"/>
      <c r="D79" s="8"/>
      <c r="E79" s="8"/>
      <c r="F79" s="8"/>
      <c r="G79" s="8"/>
      <c r="H79" s="8"/>
      <c r="I79" s="8"/>
      <c r="J79" s="8"/>
    </row>
    <row r="80" spans="1:10" ht="16.5">
      <c r="A80" s="8"/>
      <c r="B80" s="8"/>
      <c r="C80" s="8"/>
      <c r="D80" s="8"/>
      <c r="E80" s="8"/>
      <c r="F80" s="8"/>
      <c r="G80" s="8"/>
      <c r="H80" s="8"/>
      <c r="I80" s="8"/>
      <c r="J80" s="8"/>
    </row>
    <row r="81" spans="1:10" ht="16.5">
      <c r="A81" s="8"/>
      <c r="B81" s="8"/>
      <c r="C81" s="8"/>
      <c r="D81" s="8"/>
      <c r="E81" s="8"/>
      <c r="F81" s="8"/>
      <c r="G81" s="8"/>
      <c r="H81" s="8"/>
      <c r="I81" s="8"/>
      <c r="J81" s="8"/>
    </row>
    <row r="82" spans="1:10" ht="16.5">
      <c r="A82" s="8"/>
      <c r="B82" s="8"/>
      <c r="C82" s="8"/>
      <c r="D82" s="8"/>
      <c r="E82" s="8"/>
      <c r="F82" s="8"/>
      <c r="G82" s="8"/>
      <c r="H82" s="8"/>
      <c r="I82" s="8"/>
      <c r="J82" s="8"/>
    </row>
    <row r="83" spans="1:10" ht="16.5">
      <c r="A83" s="8"/>
      <c r="B83" s="8"/>
      <c r="C83" s="8"/>
      <c r="D83" s="8"/>
      <c r="E83" s="8"/>
      <c r="F83" s="8"/>
      <c r="G83" s="8"/>
      <c r="H83" s="8"/>
      <c r="I83" s="8"/>
      <c r="J83" s="8"/>
    </row>
    <row r="84" spans="1:10" ht="16.5">
      <c r="A84" s="8"/>
      <c r="B84" s="8"/>
      <c r="C84" s="8"/>
      <c r="D84" s="8"/>
      <c r="E84" s="8"/>
      <c r="F84" s="8"/>
      <c r="G84" s="8"/>
      <c r="H84" s="8"/>
      <c r="I84" s="8"/>
      <c r="J84" s="8"/>
    </row>
    <row r="85" spans="1:10" ht="16.5">
      <c r="A85" s="8"/>
      <c r="B85" s="8"/>
      <c r="C85" s="8"/>
      <c r="D85" s="8"/>
      <c r="E85" s="8"/>
      <c r="F85" s="8"/>
      <c r="G85" s="8"/>
      <c r="H85" s="8"/>
      <c r="I85" s="8"/>
      <c r="J85" s="8"/>
    </row>
    <row r="86" spans="1:10" ht="16.5">
      <c r="A86" s="8"/>
      <c r="B86" s="8"/>
      <c r="C86" s="8"/>
      <c r="D86" s="8"/>
      <c r="E86" s="8"/>
      <c r="F86" s="8"/>
      <c r="G86" s="8"/>
      <c r="H86" s="8"/>
      <c r="I86" s="8"/>
      <c r="J86" s="8"/>
    </row>
    <row r="87" spans="1:10" ht="16.5">
      <c r="A87" s="8"/>
      <c r="B87" s="8"/>
      <c r="C87" s="8"/>
      <c r="D87" s="8"/>
      <c r="E87" s="8"/>
      <c r="F87" s="8"/>
      <c r="G87" s="8"/>
      <c r="H87" s="8"/>
      <c r="I87" s="8"/>
      <c r="J87" s="8"/>
    </row>
    <row r="88" spans="1:10" ht="16.5">
      <c r="A88" s="8"/>
      <c r="B88" s="8"/>
      <c r="C88" s="8"/>
      <c r="D88" s="8"/>
      <c r="E88" s="8"/>
      <c r="F88" s="8"/>
      <c r="G88" s="8"/>
      <c r="H88" s="8"/>
      <c r="I88" s="8"/>
      <c r="J88" s="8"/>
    </row>
    <row r="89" spans="1:10" ht="16.5">
      <c r="A89" s="8"/>
      <c r="B89" s="8"/>
      <c r="C89" s="8"/>
      <c r="D89" s="8"/>
      <c r="E89" s="8"/>
      <c r="F89" s="8"/>
      <c r="G89" s="8"/>
      <c r="H89" s="8"/>
      <c r="I89" s="8"/>
      <c r="J89" s="8"/>
    </row>
    <row r="90" spans="1:10" ht="16.5">
      <c r="A90" s="8"/>
      <c r="B90" s="8"/>
      <c r="C90" s="8"/>
      <c r="D90" s="8"/>
      <c r="E90" s="8"/>
      <c r="F90" s="8"/>
      <c r="G90" s="8"/>
      <c r="H90" s="8"/>
      <c r="I90" s="8"/>
      <c r="J90" s="8"/>
    </row>
    <row r="91" spans="1:10" ht="16.5">
      <c r="A91" s="8"/>
      <c r="B91" s="8"/>
      <c r="C91" s="8"/>
      <c r="D91" s="8"/>
      <c r="E91" s="8"/>
      <c r="F91" s="8"/>
      <c r="G91" s="8"/>
      <c r="H91" s="8"/>
      <c r="I91" s="8"/>
      <c r="J91" s="8"/>
    </row>
    <row r="92" spans="1:10" ht="16.5">
      <c r="A92" s="8"/>
      <c r="B92" s="8"/>
      <c r="C92" s="8"/>
      <c r="D92" s="8"/>
      <c r="E92" s="8"/>
      <c r="F92" s="8"/>
      <c r="G92" s="8"/>
      <c r="H92" s="8"/>
      <c r="I92" s="8"/>
      <c r="J92" s="8"/>
    </row>
    <row r="93" spans="1:10" ht="16.5">
      <c r="A93" s="8"/>
      <c r="B93" s="8"/>
      <c r="C93" s="8"/>
      <c r="D93" s="8"/>
      <c r="E93" s="8"/>
      <c r="F93" s="8"/>
      <c r="G93" s="8"/>
      <c r="H93" s="8"/>
      <c r="I93" s="8"/>
      <c r="J93" s="8"/>
    </row>
    <row r="94" spans="1:10" ht="16.5">
      <c r="A94" s="8"/>
      <c r="B94" s="8"/>
      <c r="C94" s="8"/>
      <c r="D94" s="8"/>
      <c r="E94" s="8"/>
      <c r="F94" s="8"/>
      <c r="G94" s="8"/>
      <c r="H94" s="8"/>
      <c r="I94" s="8"/>
      <c r="J94" s="8"/>
    </row>
    <row r="95" spans="1:10" ht="16.5">
      <c r="A95" s="8"/>
      <c r="B95" s="8"/>
      <c r="C95" s="8"/>
      <c r="D95" s="8"/>
      <c r="E95" s="8"/>
      <c r="F95" s="8"/>
      <c r="G95" s="8"/>
      <c r="H95" s="8"/>
      <c r="I95" s="8"/>
      <c r="J95" s="8"/>
    </row>
    <row r="96" spans="1:10" ht="16.5">
      <c r="A96" s="8"/>
      <c r="B96" s="8"/>
      <c r="C96" s="8"/>
      <c r="D96" s="8"/>
      <c r="E96" s="8"/>
      <c r="F96" s="8"/>
      <c r="G96" s="8"/>
      <c r="H96" s="8"/>
      <c r="I96" s="8"/>
      <c r="J96" s="8"/>
    </row>
    <row r="97" spans="1:10" ht="16.5">
      <c r="A97" s="8"/>
      <c r="B97" s="8"/>
      <c r="C97" s="8"/>
      <c r="D97" s="8"/>
      <c r="E97" s="8"/>
      <c r="F97" s="8"/>
      <c r="G97" s="8"/>
      <c r="H97" s="8"/>
      <c r="I97" s="8"/>
      <c r="J97" s="8"/>
    </row>
    <row r="98" spans="1:10" ht="16.5">
      <c r="A98" s="8"/>
      <c r="B98" s="8"/>
      <c r="C98" s="8"/>
      <c r="D98" s="8"/>
      <c r="E98" s="8"/>
      <c r="F98" s="8"/>
      <c r="G98" s="8"/>
      <c r="H98" s="8"/>
      <c r="I98" s="8"/>
      <c r="J98" s="8"/>
    </row>
    <row r="99" spans="1:10" ht="16.5">
      <c r="A99" s="8"/>
      <c r="B99" s="8"/>
      <c r="C99" s="8"/>
      <c r="D99" s="8"/>
      <c r="E99" s="8"/>
      <c r="F99" s="8"/>
      <c r="G99" s="8"/>
      <c r="H99" s="8"/>
      <c r="I99" s="8"/>
      <c r="J99" s="8"/>
    </row>
    <row r="100" spans="1:10" ht="16.5">
      <c r="A100" s="8"/>
      <c r="B100" s="8"/>
      <c r="C100" s="8"/>
      <c r="D100" s="8"/>
      <c r="E100" s="8"/>
      <c r="F100" s="8"/>
      <c r="G100" s="8"/>
      <c r="H100" s="8"/>
      <c r="I100" s="8"/>
      <c r="J100" s="8"/>
    </row>
    <row r="101" spans="1:10" ht="16.5">
      <c r="A101" s="8"/>
      <c r="B101" s="8"/>
      <c r="C101" s="8"/>
      <c r="D101" s="8"/>
      <c r="E101" s="8"/>
      <c r="F101" s="8"/>
      <c r="G101" s="8"/>
      <c r="H101" s="8"/>
      <c r="I101" s="8"/>
      <c r="J101" s="8"/>
    </row>
    <row r="102" spans="1:10" ht="16.5">
      <c r="A102" s="8"/>
      <c r="B102" s="8"/>
      <c r="C102" s="8"/>
      <c r="D102" s="8"/>
      <c r="E102" s="8"/>
      <c r="F102" s="8"/>
      <c r="G102" s="8"/>
      <c r="H102" s="8"/>
      <c r="I102" s="8"/>
      <c r="J102" s="8"/>
    </row>
    <row r="103" spans="1:10" ht="16.5">
      <c r="A103" s="8"/>
      <c r="B103" s="8"/>
      <c r="C103" s="8"/>
      <c r="D103" s="8"/>
      <c r="E103" s="8"/>
      <c r="F103" s="8"/>
      <c r="G103" s="8"/>
      <c r="H103" s="8"/>
      <c r="I103" s="8"/>
      <c r="J103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20EA4-1424-44D6-A960-005CDA650A35}">
  <dimension ref="A1:O45"/>
  <sheetViews>
    <sheetView showGridLines="0" zoomScale="90" zoomScaleNormal="90" workbookViewId="0">
      <selection activeCell="D11" sqref="D11"/>
    </sheetView>
  </sheetViews>
  <sheetFormatPr defaultRowHeight="16.5"/>
  <cols>
    <col min="1" max="1" width="1.7109375" style="8" customWidth="1"/>
    <col min="2" max="2" width="46.140625" style="8" customWidth="1"/>
    <col min="3" max="3" width="11.42578125" style="8" customWidth="1"/>
    <col min="4" max="5" width="11.5703125" style="8" bestFit="1" customWidth="1"/>
    <col min="6" max="6" width="15.140625" style="8" customWidth="1"/>
    <col min="7" max="7" width="11.5703125" style="8" bestFit="1" customWidth="1"/>
    <col min="8" max="8" width="13.7109375" style="8" bestFit="1" customWidth="1"/>
    <col min="9" max="10" width="11.5703125" style="8" bestFit="1" customWidth="1"/>
    <col min="11" max="11" width="9.140625" style="8"/>
    <col min="12" max="12" width="15.140625" bestFit="1" customWidth="1"/>
    <col min="14" max="14" width="10.140625" bestFit="1" customWidth="1"/>
  </cols>
  <sheetData>
    <row r="1" spans="1:11" ht="35.25">
      <c r="A1" s="45" t="str">
        <f>Sheet1!B1</f>
        <v>Alkem Laboratories Ltd</v>
      </c>
      <c r="B1" s="46"/>
      <c r="C1" s="46"/>
      <c r="D1" s="46"/>
      <c r="E1" s="46"/>
      <c r="F1" s="46"/>
      <c r="G1" s="40"/>
      <c r="H1" s="40"/>
      <c r="I1" s="40"/>
      <c r="J1" s="40"/>
      <c r="K1" s="40"/>
    </row>
    <row r="2" spans="1:11" ht="18.75">
      <c r="A2" s="86" t="s">
        <v>372</v>
      </c>
      <c r="B2" s="48"/>
      <c r="C2" s="47"/>
      <c r="D2" s="47"/>
      <c r="E2" s="47"/>
      <c r="F2" s="47"/>
      <c r="G2" s="40"/>
      <c r="H2" s="40"/>
      <c r="I2" s="40"/>
      <c r="J2" s="40"/>
      <c r="K2" s="40"/>
    </row>
    <row r="5" spans="1:11" ht="17.25">
      <c r="B5" s="51" t="s">
        <v>372</v>
      </c>
      <c r="C5" s="51"/>
      <c r="D5" s="51"/>
      <c r="E5" s="51"/>
      <c r="F5" s="51"/>
      <c r="G5" s="51"/>
      <c r="H5" s="51"/>
      <c r="I5" s="51"/>
      <c r="J5" s="51"/>
      <c r="K5" s="51"/>
    </row>
    <row r="7" spans="1:11">
      <c r="B7" s="132" t="s">
        <v>373</v>
      </c>
      <c r="C7" s="17"/>
      <c r="D7" s="17"/>
      <c r="E7" s="17"/>
    </row>
    <row r="8" spans="1:11">
      <c r="B8" s="8" t="s">
        <v>374</v>
      </c>
      <c r="C8" s="127"/>
      <c r="D8" s="127">
        <v>46077</v>
      </c>
      <c r="E8" s="127"/>
    </row>
    <row r="9" spans="1:11">
      <c r="B9" s="8" t="s">
        <v>375</v>
      </c>
      <c r="C9" s="127"/>
      <c r="D9" s="127">
        <v>46112</v>
      </c>
      <c r="E9" s="127"/>
    </row>
    <row r="10" spans="1:11">
      <c r="B10" s="8" t="s">
        <v>332</v>
      </c>
      <c r="D10" s="83">
        <f>WACC!J33</f>
        <v>0.14799999999999999</v>
      </c>
    </row>
    <row r="11" spans="1:11">
      <c r="B11" s="8" t="s">
        <v>389</v>
      </c>
      <c r="D11" s="117">
        <f>Comps!Q17</f>
        <v>13.844613661931348</v>
      </c>
    </row>
    <row r="12" spans="1:11">
      <c r="B12" s="8" t="s">
        <v>391</v>
      </c>
      <c r="D12" s="163">
        <v>0.06</v>
      </c>
    </row>
    <row r="13" spans="1:11">
      <c r="B13" s="8" t="s">
        <v>392</v>
      </c>
      <c r="D13" s="83">
        <f>WACC!J43</f>
        <v>7.4327796216854647E-2</v>
      </c>
    </row>
    <row r="14" spans="1:11">
      <c r="B14" s="8" t="s">
        <v>399</v>
      </c>
      <c r="D14" s="120">
        <f>119565000/10^6</f>
        <v>119.565</v>
      </c>
    </row>
    <row r="15" spans="1:11">
      <c r="B15" s="8" t="s">
        <v>402</v>
      </c>
      <c r="D15" s="42">
        <v>5287</v>
      </c>
    </row>
    <row r="19" spans="2:15">
      <c r="B19" s="1" t="s">
        <v>376</v>
      </c>
      <c r="E19" s="1" t="s">
        <v>377</v>
      </c>
      <c r="F19" s="1">
        <f>YEAR(D9)</f>
        <v>2026</v>
      </c>
      <c r="G19" s="1">
        <f>F19+1</f>
        <v>2027</v>
      </c>
      <c r="H19" s="1">
        <f t="shared" ref="H19:J19" si="0">G19+1</f>
        <v>2028</v>
      </c>
      <c r="I19" s="1">
        <f t="shared" si="0"/>
        <v>2029</v>
      </c>
      <c r="J19" s="1" t="s">
        <v>378</v>
      </c>
      <c r="L19" s="132" t="s">
        <v>387</v>
      </c>
      <c r="M19" s="10"/>
      <c r="N19" s="10"/>
    </row>
    <row r="20" spans="2:15">
      <c r="B20" s="8" t="s">
        <v>305</v>
      </c>
      <c r="E20" s="127">
        <f>D8</f>
        <v>46077</v>
      </c>
      <c r="F20" s="127">
        <f>DATE(YEAR($E$20)+F21,MONTH($D$9),DAY($D$9))</f>
        <v>46112</v>
      </c>
      <c r="G20" s="127">
        <f t="shared" ref="G20:J20" si="1">DATE(YEAR($E$20)+G21,MONTH($D$9),DAY($D$9))</f>
        <v>46477</v>
      </c>
      <c r="H20" s="127">
        <f t="shared" si="1"/>
        <v>46843</v>
      </c>
      <c r="I20" s="127">
        <f t="shared" si="1"/>
        <v>47208</v>
      </c>
      <c r="J20" s="127">
        <f>I20</f>
        <v>47208</v>
      </c>
      <c r="L20" s="8" t="s">
        <v>388</v>
      </c>
      <c r="M20" s="8"/>
      <c r="N20" s="58">
        <f>(I24+I27)*D11</f>
        <v>437682.48160108255</v>
      </c>
      <c r="O20" s="8"/>
    </row>
    <row r="21" spans="2:15">
      <c r="B21" s="159" t="s">
        <v>379</v>
      </c>
      <c r="C21" s="159"/>
      <c r="D21" s="159"/>
      <c r="E21" s="159"/>
      <c r="F21" s="159">
        <v>0</v>
      </c>
      <c r="G21" s="159">
        <v>1</v>
      </c>
      <c r="H21" s="159">
        <v>2</v>
      </c>
      <c r="I21" s="159">
        <v>3</v>
      </c>
      <c r="J21" s="159"/>
      <c r="L21" s="8" t="s">
        <v>390</v>
      </c>
      <c r="M21" s="8"/>
      <c r="N21" s="58">
        <f>I30*(1+D12)/(D13-D12)</f>
        <v>1788125.503566107</v>
      </c>
      <c r="O21" s="8"/>
    </row>
    <row r="22" spans="2:15">
      <c r="B22" s="159" t="s">
        <v>380</v>
      </c>
      <c r="C22" s="159"/>
      <c r="D22" s="159"/>
      <c r="E22" s="159"/>
      <c r="F22" s="160">
        <f>YEARFRAC(E20,F20)</f>
        <v>0.10277777777777777</v>
      </c>
      <c r="G22" s="160">
        <f t="shared" ref="G22:I22" si="2">YEARFRAC(F20,G20)</f>
        <v>1</v>
      </c>
      <c r="H22" s="160">
        <f t="shared" si="2"/>
        <v>1</v>
      </c>
      <c r="I22" s="160">
        <f t="shared" si="2"/>
        <v>1</v>
      </c>
      <c r="J22" s="161">
        <v>1</v>
      </c>
      <c r="L22" s="8" t="s">
        <v>294</v>
      </c>
      <c r="M22" s="8"/>
      <c r="N22" s="58">
        <f>AVERAGE(N20:N21)</f>
        <v>1112903.9925835948</v>
      </c>
      <c r="O22" s="8"/>
    </row>
    <row r="23" spans="2:15">
      <c r="L23" s="8"/>
      <c r="M23" s="8"/>
      <c r="N23" s="8"/>
      <c r="O23" s="8"/>
    </row>
    <row r="24" spans="2:15">
      <c r="B24" s="8" t="s">
        <v>108</v>
      </c>
      <c r="F24" s="58">
        <f>Model!M14</f>
        <v>22830.034108120999</v>
      </c>
      <c r="G24" s="58">
        <f>Model!N14</f>
        <v>23720.307116610464</v>
      </c>
      <c r="H24" s="58">
        <f>Model!O14</f>
        <v>25212.014458486781</v>
      </c>
      <c r="I24" s="58">
        <f>Model!P14</f>
        <v>28431.361519568261</v>
      </c>
      <c r="L24" s="8"/>
      <c r="M24" s="8"/>
      <c r="N24" s="8"/>
      <c r="O24" s="8"/>
    </row>
    <row r="25" spans="2:15">
      <c r="B25" s="17" t="s">
        <v>381</v>
      </c>
      <c r="C25" s="17"/>
      <c r="D25" s="17"/>
      <c r="E25" s="17"/>
      <c r="F25" s="162">
        <f>-F24*$D$10</f>
        <v>-3378.8450480019078</v>
      </c>
      <c r="G25" s="162">
        <f t="shared" ref="G25:I25" si="3">-G24*$D$10</f>
        <v>-3510.6054532583485</v>
      </c>
      <c r="H25" s="162">
        <f t="shared" si="3"/>
        <v>-3731.3781398560436</v>
      </c>
      <c r="I25" s="162">
        <f t="shared" si="3"/>
        <v>-4207.8415048961024</v>
      </c>
      <c r="J25" s="17"/>
      <c r="L25" s="8"/>
      <c r="M25" s="8"/>
      <c r="N25" s="8"/>
      <c r="O25" s="8"/>
    </row>
    <row r="26" spans="2:15">
      <c r="B26" s="1" t="s">
        <v>382</v>
      </c>
      <c r="C26" s="1"/>
      <c r="D26" s="1"/>
      <c r="E26" s="1"/>
      <c r="F26" s="101">
        <f>SUM(F24:F25)</f>
        <v>19451.18906011909</v>
      </c>
      <c r="G26" s="101">
        <f t="shared" ref="G26:I26" si="4">SUM(G24:G25)</f>
        <v>20209.701663352116</v>
      </c>
      <c r="H26" s="101">
        <f t="shared" si="4"/>
        <v>21480.636318630739</v>
      </c>
      <c r="I26" s="101">
        <f t="shared" si="4"/>
        <v>24223.520014672158</v>
      </c>
      <c r="L26" s="8"/>
      <c r="M26" s="8"/>
      <c r="N26" s="8"/>
      <c r="O26" s="8"/>
    </row>
    <row r="27" spans="2:15">
      <c r="B27" s="8" t="s">
        <v>383</v>
      </c>
      <c r="F27" s="58">
        <f>Model!M57</f>
        <v>3500.6720450821608</v>
      </c>
      <c r="G27" s="58">
        <f>Model!N57</f>
        <v>3407.6778077103368</v>
      </c>
      <c r="H27" s="58">
        <f>Model!O57</f>
        <v>3321.6489339370096</v>
      </c>
      <c r="I27" s="58">
        <f>Model!P57</f>
        <v>3182.5565202382095</v>
      </c>
      <c r="L27" s="8"/>
      <c r="M27" s="8"/>
      <c r="N27" s="8"/>
      <c r="O27" s="8"/>
    </row>
    <row r="28" spans="2:15">
      <c r="B28" s="8" t="s">
        <v>384</v>
      </c>
      <c r="F28" s="58">
        <f>-Model!M94</f>
        <v>-2709.7697567945015</v>
      </c>
      <c r="G28" s="58">
        <f>-Model!N94</f>
        <v>-2164.8062675539327</v>
      </c>
      <c r="H28" s="58">
        <f>-Model!O94</f>
        <v>-1712.5104522851634</v>
      </c>
      <c r="I28" s="58">
        <f>-Model!P94</f>
        <v>-1344.1757391962603</v>
      </c>
      <c r="L28" s="8"/>
      <c r="M28" s="8"/>
      <c r="N28" s="8"/>
      <c r="O28" s="8"/>
    </row>
    <row r="29" spans="2:15">
      <c r="B29" s="8" t="s">
        <v>385</v>
      </c>
      <c r="F29" s="58">
        <f>Model!M90</f>
        <v>-7368.2202831364957</v>
      </c>
      <c r="G29" s="58">
        <f>Model!N90</f>
        <v>-2657.2455922182562</v>
      </c>
      <c r="H29" s="58">
        <f>Model!O90</f>
        <v>-924.5712270262884</v>
      </c>
      <c r="I29" s="58">
        <f>Model!P90</f>
        <v>-1892.1858662275226</v>
      </c>
      <c r="L29" s="8"/>
      <c r="M29" s="8"/>
      <c r="N29" s="8"/>
      <c r="O29" s="8"/>
    </row>
    <row r="30" spans="2:15">
      <c r="B30" s="169" t="s">
        <v>386</v>
      </c>
      <c r="C30" s="169"/>
      <c r="D30" s="169"/>
      <c r="E30" s="169"/>
      <c r="F30" s="172">
        <f>SUM(F26:F29)</f>
        <v>12873.871065270254</v>
      </c>
      <c r="G30" s="172">
        <f t="shared" ref="G30:J30" si="5">SUM(G26:G29)</f>
        <v>18795.327611290264</v>
      </c>
      <c r="H30" s="172">
        <f t="shared" si="5"/>
        <v>22165.203573256294</v>
      </c>
      <c r="I30" s="172">
        <f t="shared" si="5"/>
        <v>24169.714929486585</v>
      </c>
      <c r="J30" s="172">
        <f>N22</f>
        <v>1112903.9925835948</v>
      </c>
      <c r="L30" s="8"/>
      <c r="M30" s="8"/>
      <c r="N30" s="8"/>
      <c r="O30" s="8"/>
    </row>
    <row r="31" spans="2:15">
      <c r="L31" s="8"/>
      <c r="M31" s="8"/>
      <c r="N31" s="8"/>
      <c r="O31" s="8"/>
    </row>
    <row r="32" spans="2:15">
      <c r="B32" s="1" t="s">
        <v>393</v>
      </c>
      <c r="C32" s="1"/>
      <c r="D32" s="1"/>
      <c r="E32" s="1">
        <v>0</v>
      </c>
      <c r="F32" s="101">
        <f>F30*F22</f>
        <v>1323.1478594861094</v>
      </c>
      <c r="G32" s="101">
        <f t="shared" ref="G32:J32" si="6">G30*G22</f>
        <v>18795.327611290264</v>
      </c>
      <c r="H32" s="101">
        <f t="shared" si="6"/>
        <v>22165.203573256294</v>
      </c>
      <c r="I32" s="101">
        <f t="shared" si="6"/>
        <v>24169.714929486585</v>
      </c>
      <c r="J32" s="101">
        <f t="shared" si="6"/>
        <v>1112903.9925835948</v>
      </c>
      <c r="L32" s="8"/>
      <c r="M32" s="8"/>
      <c r="N32" s="8"/>
      <c r="O32" s="8"/>
    </row>
    <row r="38" spans="2:12">
      <c r="B38" s="164" t="s">
        <v>394</v>
      </c>
      <c r="C38" s="165"/>
      <c r="D38" s="165"/>
      <c r="E38" s="166"/>
      <c r="F38" s="173" t="s">
        <v>401</v>
      </c>
      <c r="G38" s="173"/>
      <c r="H38" s="173"/>
      <c r="J38" s="173" t="s">
        <v>407</v>
      </c>
      <c r="K38" s="173"/>
      <c r="L38" s="174"/>
    </row>
    <row r="39" spans="2:12">
      <c r="B39" s="8" t="s">
        <v>264</v>
      </c>
      <c r="D39" s="58">
        <f>XNPV(D13,E32:J32,E20:J20)</f>
        <v>948315.17833635013</v>
      </c>
      <c r="F39" s="8" t="s">
        <v>261</v>
      </c>
      <c r="H39" s="113">
        <f>D15*D14</f>
        <v>632140.15500000003</v>
      </c>
      <c r="J39" s="8" t="s">
        <v>402</v>
      </c>
      <c r="L39" s="175">
        <f>D15</f>
        <v>5287</v>
      </c>
    </row>
    <row r="40" spans="2:12">
      <c r="B40" s="8" t="s">
        <v>395</v>
      </c>
      <c r="D40" s="58">
        <f>Model!L25+Model!L26+Model!L34</f>
        <v>61430.900000000009</v>
      </c>
      <c r="F40" s="8" t="s">
        <v>403</v>
      </c>
      <c r="H40" s="58">
        <f>-D41</f>
        <v>13808.999999999998</v>
      </c>
      <c r="J40" s="8" t="s">
        <v>408</v>
      </c>
      <c r="L40" s="123">
        <f>D45</f>
        <v>8292.137986336722</v>
      </c>
    </row>
    <row r="41" spans="2:12">
      <c r="B41" s="8" t="s">
        <v>396</v>
      </c>
      <c r="D41" s="58">
        <f>-Model!L101</f>
        <v>-13808.999999999998</v>
      </c>
      <c r="F41" s="8" t="s">
        <v>404</v>
      </c>
      <c r="H41" s="58">
        <f>-D42</f>
        <v>4487.6000000000004</v>
      </c>
      <c r="J41" s="8" t="s">
        <v>409</v>
      </c>
      <c r="L41" s="124">
        <f>L40/L39-1</f>
        <v>0.56840135924659019</v>
      </c>
    </row>
    <row r="42" spans="2:12">
      <c r="B42" s="8" t="s">
        <v>397</v>
      </c>
      <c r="D42" s="58">
        <f>-Model!L50</f>
        <v>-4487.6000000000004</v>
      </c>
      <c r="F42" s="8" t="s">
        <v>405</v>
      </c>
      <c r="H42" s="58">
        <f>-D40</f>
        <v>-61430.900000000009</v>
      </c>
    </row>
    <row r="43" spans="2:12">
      <c r="B43" s="8" t="s">
        <v>398</v>
      </c>
      <c r="D43" s="167">
        <f>SUM(D39:D42)</f>
        <v>991449.47833635018</v>
      </c>
      <c r="F43" s="169" t="s">
        <v>406</v>
      </c>
      <c r="G43" s="169"/>
      <c r="H43" s="170">
        <f>SUM(H39:H42)</f>
        <v>589005.85499999998</v>
      </c>
    </row>
    <row r="45" spans="2:12">
      <c r="B45" s="168" t="s">
        <v>400</v>
      </c>
      <c r="C45" s="168"/>
      <c r="D45" s="171">
        <f>D43/D14</f>
        <v>8292.137986336722</v>
      </c>
      <c r="F45" s="166" t="s">
        <v>400</v>
      </c>
      <c r="H45" s="113">
        <f>H39/D14</f>
        <v>5287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CB7E5-78E3-49B3-B7A1-CB245B96D115}">
  <dimension ref="A1:R15"/>
  <sheetViews>
    <sheetView showGridLines="0" tabSelected="1" workbookViewId="0">
      <selection activeCell="K11" sqref="K11"/>
    </sheetView>
  </sheetViews>
  <sheetFormatPr defaultRowHeight="16.5"/>
  <cols>
    <col min="1" max="1" width="1.7109375" customWidth="1"/>
    <col min="2" max="2" width="32.7109375" style="8" customWidth="1"/>
    <col min="3" max="4" width="9.140625" style="8"/>
    <col min="5" max="5" width="14" style="8" bestFit="1" customWidth="1"/>
    <col min="6" max="6" width="6.85546875" style="8" bestFit="1" customWidth="1"/>
    <col min="7" max="16384" width="9.140625" style="8"/>
  </cols>
  <sheetData>
    <row r="1" spans="1:18" customFormat="1" ht="35.25">
      <c r="A1" s="45" t="str">
        <f>Sheet1!B1</f>
        <v>Alkem Laboratories Ltd</v>
      </c>
      <c r="B1" s="46"/>
      <c r="C1" s="46"/>
      <c r="D1" s="46"/>
      <c r="E1" s="46"/>
      <c r="F1" s="46"/>
      <c r="G1" s="40"/>
      <c r="H1" s="40"/>
      <c r="I1" s="40"/>
      <c r="J1" s="40"/>
      <c r="K1" s="40"/>
    </row>
    <row r="2" spans="1:18" customFormat="1" ht="18.75">
      <c r="A2" s="86" t="s">
        <v>410</v>
      </c>
      <c r="B2" s="48"/>
      <c r="C2" s="47"/>
      <c r="D2" s="47"/>
      <c r="E2" s="47"/>
      <c r="F2" s="47"/>
      <c r="G2" s="40"/>
      <c r="H2" s="40"/>
      <c r="I2" s="40"/>
      <c r="J2" s="40"/>
      <c r="K2" s="40"/>
    </row>
    <row r="3" spans="1:18" customFormat="1" ht="15"/>
    <row r="4" spans="1:18" customFormat="1" ht="15"/>
    <row r="5" spans="1:18" ht="17.25">
      <c r="B5" s="51" t="s">
        <v>410</v>
      </c>
      <c r="C5" s="51"/>
      <c r="D5" s="51"/>
      <c r="E5" s="51"/>
      <c r="F5" s="51"/>
      <c r="G5" s="51"/>
      <c r="H5" s="51"/>
      <c r="I5" s="51"/>
      <c r="J5" s="51"/>
      <c r="K5" s="51"/>
    </row>
    <row r="7" spans="1:18">
      <c r="E7" s="178"/>
      <c r="F7" s="179" t="s">
        <v>411</v>
      </c>
      <c r="G7" s="179"/>
      <c r="H7" s="179"/>
      <c r="I7" s="179"/>
      <c r="J7" s="179"/>
      <c r="K7" s="179"/>
    </row>
    <row r="9" spans="1:18">
      <c r="G9" s="177" t="s">
        <v>412</v>
      </c>
      <c r="H9" s="177"/>
      <c r="I9" s="177"/>
      <c r="J9" s="177"/>
      <c r="K9" s="177"/>
    </row>
    <row r="10" spans="1:18">
      <c r="F10" s="181">
        <f>'DCF Model'!D45</f>
        <v>8292.137986336722</v>
      </c>
      <c r="G10" s="176">
        <v>3</v>
      </c>
      <c r="H10" s="176">
        <v>7</v>
      </c>
      <c r="I10" s="176">
        <v>13.84</v>
      </c>
      <c r="J10" s="176">
        <v>15</v>
      </c>
      <c r="K10" s="176">
        <v>17</v>
      </c>
    </row>
    <row r="11" spans="1:18">
      <c r="F11" s="182">
        <v>0.05</v>
      </c>
      <c r="G11" s="8">
        <f t="dataTable" ref="G11:K15" dt2D="1" dtr="1" r1="R11" r2="R12"/>
        <v>8292.137986336722</v>
      </c>
      <c r="H11" s="8">
        <v>8292.137986336722</v>
      </c>
      <c r="I11" s="8">
        <v>8292.137986336722</v>
      </c>
      <c r="J11" s="8">
        <v>8292.137986336722</v>
      </c>
      <c r="K11" s="8">
        <v>8292.137986336722</v>
      </c>
      <c r="R11" s="8">
        <f>'DCF Model'!D11</f>
        <v>13.844613661931348</v>
      </c>
    </row>
    <row r="12" spans="1:18">
      <c r="E12" s="180"/>
      <c r="F12" s="182">
        <v>0.06</v>
      </c>
      <c r="G12" s="8">
        <v>8292.137986336722</v>
      </c>
      <c r="H12" s="8">
        <v>8292.137986336722</v>
      </c>
      <c r="I12" s="8">
        <v>8292.137986336722</v>
      </c>
      <c r="J12" s="8">
        <v>8292.137986336722</v>
      </c>
      <c r="K12" s="8">
        <v>8292.137986336722</v>
      </c>
      <c r="R12" s="83">
        <f>'DCF Model'!D13</f>
        <v>7.4327796216854647E-2</v>
      </c>
    </row>
    <row r="13" spans="1:18">
      <c r="E13" s="180" t="s">
        <v>413</v>
      </c>
      <c r="F13" s="182">
        <v>7.4300000000000005E-2</v>
      </c>
      <c r="G13" s="8">
        <v>8292.137986336722</v>
      </c>
      <c r="H13" s="8">
        <v>8292.137986336722</v>
      </c>
      <c r="I13" s="8">
        <v>8292.137986336722</v>
      </c>
      <c r="J13" s="8">
        <v>8292.137986336722</v>
      </c>
      <c r="K13" s="8">
        <v>8292.137986336722</v>
      </c>
    </row>
    <row r="14" spans="1:18">
      <c r="E14" s="180"/>
      <c r="F14" s="182">
        <v>0.09</v>
      </c>
      <c r="G14" s="8">
        <v>8292.137986336722</v>
      </c>
      <c r="H14" s="8">
        <v>8292.137986336722</v>
      </c>
      <c r="I14" s="8">
        <v>8292.137986336722</v>
      </c>
      <c r="J14" s="8">
        <v>8292.137986336722</v>
      </c>
      <c r="K14" s="8">
        <v>8292.137986336722</v>
      </c>
    </row>
    <row r="15" spans="1:18">
      <c r="E15" s="180"/>
      <c r="F15" s="182">
        <v>0.11</v>
      </c>
      <c r="G15" s="8">
        <v>8292.137986336722</v>
      </c>
      <c r="H15" s="8">
        <v>8292.137986336722</v>
      </c>
      <c r="I15" s="8">
        <v>8292.137986336722</v>
      </c>
      <c r="J15" s="8">
        <v>8292.137986336722</v>
      </c>
      <c r="K15" s="8">
        <v>8292.137986336722</v>
      </c>
    </row>
  </sheetData>
  <mergeCells count="2">
    <mergeCell ref="F7:K7"/>
    <mergeCell ref="G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Model</vt:lpstr>
      <vt:lpstr>Scenarios</vt:lpstr>
      <vt:lpstr>Comps</vt:lpstr>
      <vt:lpstr>Comps Data</vt:lpstr>
      <vt:lpstr>Market Data</vt:lpstr>
      <vt:lpstr>WACC</vt:lpstr>
      <vt:lpstr>Beta</vt:lpstr>
      <vt:lpstr>DCF Model</vt:lpstr>
      <vt:lpstr>Sensitivity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SOHIT GOLA</dc:creator>
  <cp:lastModifiedBy>SOHIT GOLA</cp:lastModifiedBy>
  <cp:lastPrinted>2026-03-23T04:03:37Z</cp:lastPrinted>
  <dcterms:created xsi:type="dcterms:W3CDTF">2026-03-22T05:22:48Z</dcterms:created>
  <dcterms:modified xsi:type="dcterms:W3CDTF">2026-03-24T11:54:47Z</dcterms:modified>
</cp:coreProperties>
</file>